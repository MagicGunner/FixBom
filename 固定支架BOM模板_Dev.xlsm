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BaiduSyncdisk\Works\00-Research_and_development\固定支架BOM\"/>
    </mc:Choice>
  </mc:AlternateContent>
  <xr:revisionPtr revIDLastSave="0" documentId="13_ncr:1_{777BE3D5-F5B8-4A91-A1E4-EC0E38791ED7}" xr6:coauthVersionLast="47" xr6:coauthVersionMax="47" xr10:uidLastSave="{00000000-0000-0000-0000-000000000000}"/>
  <bookViews>
    <workbookView xWindow="-110" yWindow="-110" windowWidth="38620" windowHeight="21100" tabRatio="669" xr2:uid="{00000000-000D-0000-FFFF-FFFF00000000}"/>
  </bookViews>
  <sheets>
    <sheet name="Home" sheetId="18" r:id="rId1"/>
    <sheet name="BomTemplate" sheetId="16" r:id="rId2"/>
    <sheet name="Resource" sheetId="17" r:id="rId3"/>
    <sheet name="Fastener" sheetId="20" r:id="rId4"/>
  </sheets>
  <functionGroups builtInGroupCount="19"/>
  <definedNames>
    <definedName name="_xlnm._FilterDatabase" localSheetId="3">Fastener!$A$1:$H$587</definedName>
    <definedName name="_xlnm.Print_Area" localSheetId="1">BomTemplate!$A$1:$R$46</definedName>
  </definedNames>
  <calcPr calcId="191029"/>
  <customWorkbookViews>
    <customWorkbookView name="Paul Yang - 个人视图" guid="{EC281D8F-E5CD-4381-8D33-E489CD2F51ED}" personalView="1" maximized="1" xWindow="-9" yWindow="-9" windowWidth="1938" windowHeight="1048" activeSheetId="0"/>
  </customWorkbookView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6" l="1"/>
  <c r="G7" i="16"/>
  <c r="G4" i="16"/>
  <c r="H3" i="16"/>
  <c r="H4" i="16"/>
  <c r="I60" i="16" l="1"/>
  <c r="I61" i="16" s="1"/>
  <c r="I62" i="16"/>
  <c r="N57" i="16"/>
  <c r="N56" i="16"/>
  <c r="N55" i="16"/>
  <c r="N54" i="16"/>
  <c r="N53" i="16"/>
  <c r="N52" i="16"/>
  <c r="N51" i="16"/>
  <c r="N50" i="16"/>
  <c r="N49" i="16"/>
  <c r="N48" i="16"/>
  <c r="N47" i="16"/>
  <c r="N46" i="16"/>
  <c r="N45" i="16"/>
  <c r="N44" i="16"/>
  <c r="N43" i="16"/>
  <c r="N39" i="16"/>
  <c r="N38" i="16"/>
  <c r="N37" i="16"/>
  <c r="N36" i="16"/>
  <c r="N35" i="16"/>
  <c r="N34" i="16"/>
  <c r="N33" i="16"/>
  <c r="N32" i="16"/>
  <c r="N31" i="16"/>
  <c r="J26" i="16"/>
  <c r="N26" i="16" s="1"/>
  <c r="G26" i="16"/>
  <c r="K26" i="16" s="1"/>
  <c r="I64" i="16" l="1"/>
  <c r="J25" i="16"/>
  <c r="N25" i="16" s="1"/>
  <c r="J24" i="16"/>
  <c r="N24" i="16" s="1"/>
  <c r="H23" i="16"/>
  <c r="H22" i="16"/>
  <c r="J22" i="16" s="1"/>
  <c r="N22" i="16" s="1"/>
  <c r="G22" i="16"/>
  <c r="G24" i="16" s="1"/>
  <c r="H21" i="16"/>
  <c r="G21" i="16"/>
  <c r="G20" i="16"/>
  <c r="J19" i="16"/>
  <c r="N19" i="16" s="1"/>
  <c r="G19" i="16"/>
  <c r="J20" i="16"/>
  <c r="N20" i="16" s="1"/>
  <c r="H18" i="16"/>
  <c r="J18" i="16" s="1"/>
  <c r="N18" i="16" s="1"/>
  <c r="H17" i="16"/>
  <c r="J17" i="16" s="1"/>
  <c r="N17" i="16" s="1"/>
  <c r="H16" i="16"/>
  <c r="J16" i="16" s="1"/>
  <c r="N16" i="16" s="1"/>
  <c r="G15" i="16"/>
  <c r="H15" i="16"/>
  <c r="J15" i="16" s="1"/>
  <c r="N15" i="16" s="1"/>
  <c r="H14" i="16"/>
  <c r="J14" i="16" s="1"/>
  <c r="N14" i="16" s="1"/>
  <c r="H13" i="16"/>
  <c r="G13" i="16"/>
  <c r="G12" i="16"/>
  <c r="H12" i="16"/>
  <c r="J12" i="16" s="1"/>
  <c r="N12" i="16" s="1"/>
  <c r="H11" i="16"/>
  <c r="G10" i="16"/>
  <c r="G11" i="16" s="1"/>
  <c r="H10" i="16"/>
  <c r="J10" i="16" s="1"/>
  <c r="N10" i="16" s="1"/>
  <c r="H9" i="16"/>
  <c r="G9" i="16"/>
  <c r="H8" i="16"/>
  <c r="J8" i="16" s="1"/>
  <c r="N8" i="16" s="1"/>
  <c r="G8" i="16"/>
  <c r="H7" i="16"/>
  <c r="H6" i="16"/>
  <c r="J4" i="16"/>
  <c r="N4" i="16" s="1"/>
  <c r="J3" i="16"/>
  <c r="K3" i="16" l="1"/>
  <c r="N3" i="16"/>
  <c r="G31" i="16"/>
  <c r="G32" i="16" s="1"/>
  <c r="K32" i="16" s="1"/>
  <c r="G47" i="16"/>
  <c r="G48" i="16" s="1"/>
  <c r="G39" i="16"/>
  <c r="G25" i="16"/>
  <c r="G14" i="16"/>
  <c r="G35" i="16"/>
  <c r="J23" i="16"/>
  <c r="N23" i="16" s="1"/>
  <c r="K12" i="16"/>
  <c r="K19" i="16"/>
  <c r="K24" i="16"/>
  <c r="G23" i="16"/>
  <c r="J6" i="16"/>
  <c r="K22" i="16"/>
  <c r="G16" i="16"/>
  <c r="G18" i="16" s="1"/>
  <c r="K18" i="16" s="1"/>
  <c r="K20" i="16"/>
  <c r="K10" i="16"/>
  <c r="J11" i="16"/>
  <c r="K4" i="16"/>
  <c r="J7" i="16"/>
  <c r="J13" i="16"/>
  <c r="J21" i="16"/>
  <c r="K15" i="16"/>
  <c r="K8" i="16"/>
  <c r="G17" i="16"/>
  <c r="K17" i="16" s="1"/>
  <c r="J9" i="16"/>
  <c r="K21" i="16" l="1"/>
  <c r="N21" i="16"/>
  <c r="K11" i="16"/>
  <c r="N11" i="16"/>
  <c r="K13" i="16"/>
  <c r="N13" i="16"/>
  <c r="K7" i="16"/>
  <c r="N7" i="16"/>
  <c r="K6" i="16"/>
  <c r="N6" i="16"/>
  <c r="K9" i="16"/>
  <c r="N9" i="16"/>
  <c r="G33" i="16"/>
  <c r="K33" i="16" s="1"/>
  <c r="G34" i="16"/>
  <c r="K34" i="16" s="1"/>
  <c r="K31" i="16"/>
  <c r="K25" i="16"/>
  <c r="K14" i="16"/>
  <c r="G57" i="16"/>
  <c r="K57" i="16" s="1"/>
  <c r="G56" i="16"/>
  <c r="K56" i="16" s="1"/>
  <c r="G55" i="16"/>
  <c r="K55" i="16" s="1"/>
  <c r="G43" i="16"/>
  <c r="K43" i="16" s="1"/>
  <c r="G36" i="16"/>
  <c r="K36" i="16" s="1"/>
  <c r="G37" i="16"/>
  <c r="G38" i="16" s="1"/>
  <c r="K23" i="16"/>
  <c r="K16" i="16"/>
  <c r="E61" i="16"/>
  <c r="G51" i="16"/>
  <c r="G54" i="16" s="1"/>
  <c r="K35" i="16"/>
  <c r="G44" i="16" l="1"/>
  <c r="G45" i="16"/>
  <c r="G46" i="16" s="1"/>
  <c r="K37" i="16"/>
  <c r="K38" i="16"/>
  <c r="K39" i="16"/>
  <c r="G50" i="16"/>
  <c r="G49" i="16"/>
  <c r="K47" i="16"/>
  <c r="G52" i="16"/>
  <c r="K51" i="16"/>
  <c r="K49" i="16" l="1"/>
  <c r="K48" i="16"/>
  <c r="G53" i="16"/>
  <c r="K52" i="16"/>
  <c r="K50" i="16"/>
  <c r="K45" i="16"/>
  <c r="K44" i="16"/>
  <c r="K46" i="16"/>
  <c r="K53" i="16" l="1"/>
  <c r="K54" i="16" l="1"/>
  <c r="E62" i="16" s="1"/>
  <c r="E64" i="16" l="1"/>
</calcChain>
</file>

<file path=xl/sharedStrings.xml><?xml version="1.0" encoding="utf-8"?>
<sst xmlns="http://schemas.openxmlformats.org/spreadsheetml/2006/main" count="3508" uniqueCount="1327">
  <si>
    <t>名称</t>
  </si>
  <si>
    <t>规格</t>
  </si>
  <si>
    <t>材质</t>
  </si>
  <si>
    <t>GB/T 96.1</t>
  </si>
  <si>
    <t>GB/T 93</t>
  </si>
  <si>
    <t>六角螺母 M12</t>
  </si>
  <si>
    <t>六角螺母 M8</t>
  </si>
  <si>
    <t>kg</t>
  </si>
  <si>
    <t>GB/T 97.1</t>
  </si>
  <si>
    <t>物料编码</t>
  </si>
  <si>
    <t>外六角螺栓 M8x12</t>
  </si>
  <si>
    <t>平垫圈 8</t>
  </si>
  <si>
    <t>弹簧垫圈 8</t>
  </si>
  <si>
    <t>外六角螺栓 M16x190</t>
  </si>
  <si>
    <t>外六角螺栓 M16x50</t>
  </si>
  <si>
    <t>大垫圈 16</t>
  </si>
  <si>
    <t>平垫圈 16</t>
  </si>
  <si>
    <t>弹簧垫圈 16</t>
  </si>
  <si>
    <t>六角螺母 M16</t>
  </si>
  <si>
    <t>外六角螺栓 M12x180</t>
  </si>
  <si>
    <t>外六角螺栓 M12x70</t>
  </si>
  <si>
    <t>大垫圈 12</t>
  </si>
  <si>
    <t>平垫圈 12</t>
  </si>
  <si>
    <t>弹簧垫圈 12</t>
  </si>
  <si>
    <t>外六角螺栓 M8x20</t>
  </si>
  <si>
    <t>GB/T 91</t>
  </si>
  <si>
    <t>开口销 5x50</t>
  </si>
  <si>
    <t>W</t>
  </si>
  <si>
    <t>GB/T 93</t>
    <phoneticPr fontId="5" type="noConversion"/>
  </si>
  <si>
    <t>Q235B</t>
    <phoneticPr fontId="4" type="noConversion"/>
  </si>
  <si>
    <t>GB/T 5783, 8.8级</t>
  </si>
  <si>
    <t>GB/T 5782, 8.8级</t>
  </si>
  <si>
    <t>GB/T 96.1, A2</t>
    <phoneticPr fontId="4" type="noConversion"/>
  </si>
  <si>
    <t>GB/T 93, A2</t>
    <phoneticPr fontId="4" type="noConversion"/>
  </si>
  <si>
    <t>GB/T 6170, A2-70</t>
    <phoneticPr fontId="4" type="noConversion"/>
  </si>
  <si>
    <t>SUS304</t>
    <phoneticPr fontId="4" type="noConversion"/>
  </si>
  <si>
    <t>KW</t>
  </si>
  <si>
    <t>T/MW</t>
  </si>
  <si>
    <t>Q355B</t>
    <phoneticPr fontId="4" type="noConversion"/>
  </si>
  <si>
    <t>40x18x2.0</t>
    <phoneticPr fontId="4" type="noConversion"/>
  </si>
  <si>
    <t>φ159x3.5-2342</t>
    <phoneticPr fontId="4" type="noConversion"/>
  </si>
  <si>
    <t>Q390B</t>
    <phoneticPr fontId="4" type="noConversion"/>
  </si>
  <si>
    <t>C100x50x20x2.0-7340</t>
    <phoneticPr fontId="4" type="noConversion"/>
  </si>
  <si>
    <t>C100x50x20x2.0-9000</t>
    <phoneticPr fontId="4" type="noConversion"/>
  </si>
  <si>
    <t>M8-4900</t>
    <phoneticPr fontId="4" type="noConversion"/>
  </si>
  <si>
    <t>L50x40x3.5-50</t>
    <phoneticPr fontId="4" type="noConversion"/>
  </si>
  <si>
    <t>C108x60x20x3.0-400</t>
    <phoneticPr fontId="4" type="noConversion"/>
  </si>
  <si>
    <t>M8-2600</t>
    <phoneticPr fontId="4" type="noConversion"/>
  </si>
  <si>
    <t>M8-1900</t>
    <phoneticPr fontId="4" type="noConversion"/>
  </si>
  <si>
    <t>M8-1500</t>
    <phoneticPr fontId="4" type="noConversion"/>
  </si>
  <si>
    <t>M8-1000</t>
    <phoneticPr fontId="4" type="noConversion"/>
  </si>
  <si>
    <t>φ25x2.0-1400</t>
    <phoneticPr fontId="4" type="noConversion"/>
  </si>
  <si>
    <t>80x6.0-459</t>
    <phoneticPr fontId="4" type="noConversion"/>
  </si>
  <si>
    <t>80x6.0-299</t>
    <phoneticPr fontId="4" type="noConversion"/>
  </si>
  <si>
    <t>M12-4800</t>
    <phoneticPr fontId="4" type="noConversion"/>
  </si>
  <si>
    <t>L75x50x5.0-50</t>
    <phoneticPr fontId="4" type="noConversion"/>
  </si>
  <si>
    <t>GB/T 96.1</t>
    <phoneticPr fontId="5" type="noConversion"/>
  </si>
  <si>
    <t>GB/T 5783, A2-70</t>
    <phoneticPr fontId="5" type="noConversion"/>
  </si>
  <si>
    <t>2x14</t>
    <phoneticPr fontId="4" type="noConversion"/>
  </si>
  <si>
    <t>GB/T 96.1</t>
    <phoneticPr fontId="4" type="noConversion"/>
  </si>
  <si>
    <t>GB/T 93</t>
    <phoneticPr fontId="4" type="noConversion"/>
  </si>
  <si>
    <t>40x40x2.5+C50x40x15x2.0-1559</t>
    <phoneticPr fontId="4" type="noConversion"/>
  </si>
  <si>
    <t>40x40x2.5+C60x50x15x2.0-2222</t>
    <phoneticPr fontId="4" type="noConversion"/>
  </si>
  <si>
    <t>C120x130x5.0-160</t>
    <phoneticPr fontId="4" type="noConversion"/>
  </si>
  <si>
    <t>50x4.0-344</t>
    <phoneticPr fontId="4" type="noConversion"/>
  </si>
  <si>
    <t>50x4.0-279</t>
    <phoneticPr fontId="4" type="noConversion"/>
  </si>
  <si>
    <t>AA10</t>
  </si>
  <si>
    <t>AA15</t>
  </si>
  <si>
    <t>AA20</t>
  </si>
  <si>
    <t>AA25</t>
  </si>
  <si>
    <t>类别名称</t>
  </si>
  <si>
    <t>联胜编码</t>
  </si>
  <si>
    <t>净重</t>
  </si>
  <si>
    <t>加工说明</t>
  </si>
  <si>
    <t>申请人</t>
  </si>
  <si>
    <t>申请日期</t>
  </si>
  <si>
    <t>外螺栓FB</t>
  </si>
  <si>
    <t>外螺栓</t>
  </si>
  <si>
    <t>FB2030062A</t>
  </si>
  <si>
    <t>外六角螺栓 M3x6</t>
  </si>
  <si>
    <t>机械镀锌, 平均厚度50um, 局部厚度40um</t>
  </si>
  <si>
    <t>FB2030082A</t>
  </si>
  <si>
    <t>外六角螺栓 M3x8</t>
  </si>
  <si>
    <t>FB2030102A</t>
  </si>
  <si>
    <t>外六角螺栓 M3x10</t>
  </si>
  <si>
    <t>FB2030122A</t>
  </si>
  <si>
    <t>外六角螺栓 M3x12</t>
  </si>
  <si>
    <t>FB2030162A</t>
  </si>
  <si>
    <t>外六角螺栓 M3x16</t>
  </si>
  <si>
    <t>FB1030202A</t>
  </si>
  <si>
    <t>外六角螺栓 M3x20</t>
  </si>
  <si>
    <t>FB1030252A</t>
  </si>
  <si>
    <t>外六角螺栓 M3x25</t>
  </si>
  <si>
    <t>FB1030302A</t>
  </si>
  <si>
    <t>外六角螺栓 M3x30</t>
  </si>
  <si>
    <t>FB20300600</t>
  </si>
  <si>
    <t>GB/T 5783, A2-70</t>
  </si>
  <si>
    <t>SUS304</t>
  </si>
  <si>
    <t>FB20300800</t>
  </si>
  <si>
    <t>FB20301000</t>
  </si>
  <si>
    <t>FB20301200</t>
  </si>
  <si>
    <t>FB20301600</t>
  </si>
  <si>
    <t>FB10302000</t>
  </si>
  <si>
    <t>GB/T 5782, A2-70</t>
  </si>
  <si>
    <t>FB10302500</t>
  </si>
  <si>
    <t>FB10303000</t>
  </si>
  <si>
    <t>FB2040082A</t>
  </si>
  <si>
    <t>外六角螺栓 M4x8</t>
  </si>
  <si>
    <t>FB2040102A</t>
  </si>
  <si>
    <t>外六角螺栓 M4x10</t>
  </si>
  <si>
    <t>FB2040122A</t>
  </si>
  <si>
    <t>外六角螺栓 M4x12</t>
  </si>
  <si>
    <t>FB2040162A</t>
  </si>
  <si>
    <t>外六角螺栓 M4x16</t>
  </si>
  <si>
    <t>FB2040202A</t>
  </si>
  <si>
    <t>外六角螺栓 M4x20</t>
  </si>
  <si>
    <t>FB1040252A</t>
  </si>
  <si>
    <t>外六角螺栓 M4x25</t>
  </si>
  <si>
    <t>FB1040302A</t>
  </si>
  <si>
    <t>外六角螺栓 M4x30</t>
  </si>
  <si>
    <t>FB1040352A</t>
  </si>
  <si>
    <t>外六角螺栓 M4x35</t>
  </si>
  <si>
    <t>FB1040402A</t>
  </si>
  <si>
    <t>外六角螺栓 M4x40</t>
  </si>
  <si>
    <t>FB20400800</t>
  </si>
  <si>
    <t>FB20401000</t>
  </si>
  <si>
    <t>FB20401200</t>
  </si>
  <si>
    <t>FB20401600</t>
  </si>
  <si>
    <t>FB10402500</t>
  </si>
  <si>
    <t>FB10403000</t>
  </si>
  <si>
    <t>FB10404000</t>
  </si>
  <si>
    <t>FB2050102A</t>
  </si>
  <si>
    <t>外六角螺栓 M5x10</t>
  </si>
  <si>
    <t>FB2050122A</t>
  </si>
  <si>
    <t>外六角螺栓 M5x12</t>
  </si>
  <si>
    <t>FB2050162A</t>
  </si>
  <si>
    <t>外六角螺栓 M5x16</t>
  </si>
  <si>
    <t>FB2050202A</t>
  </si>
  <si>
    <t>外六角螺栓 M5x20</t>
  </si>
  <si>
    <t>FB1050252A</t>
  </si>
  <si>
    <t>外六角螺栓 M5x25</t>
  </si>
  <si>
    <t>FB1050302A</t>
  </si>
  <si>
    <t>外六角螺栓 M5x30</t>
  </si>
  <si>
    <t>FB1050352A</t>
  </si>
  <si>
    <t>外六角螺栓 M5x35</t>
  </si>
  <si>
    <t>FB1050402A</t>
  </si>
  <si>
    <t>外六角螺栓 M5x40</t>
  </si>
  <si>
    <t>FB1050452A</t>
  </si>
  <si>
    <t>外六角螺栓 M5x45</t>
  </si>
  <si>
    <t>FB1050502A</t>
  </si>
  <si>
    <t>外六角螺栓 M5x50</t>
  </si>
  <si>
    <t>FB20501000</t>
  </si>
  <si>
    <t>FB20501200</t>
  </si>
  <si>
    <t>FB20501600</t>
  </si>
  <si>
    <t>FB20502000</t>
  </si>
  <si>
    <t>FB10502500</t>
  </si>
  <si>
    <t>FB10503000</t>
  </si>
  <si>
    <t>FB10503500</t>
  </si>
  <si>
    <t>FB10504000</t>
  </si>
  <si>
    <t>FB10504500</t>
  </si>
  <si>
    <t>FB10505000</t>
  </si>
  <si>
    <t>FB2060122A</t>
  </si>
  <si>
    <t>外六角螺栓 M6x12</t>
  </si>
  <si>
    <t>机械镀锌, 锌层平均厚度≥50um, 局部厚度≥40um</t>
  </si>
  <si>
    <t>FB2060162A</t>
  </si>
  <si>
    <t>外六角螺栓 M6x16</t>
  </si>
  <si>
    <t>FB2060202A</t>
  </si>
  <si>
    <t>外六角螺栓 M6x20</t>
  </si>
  <si>
    <t>FB2060252A</t>
  </si>
  <si>
    <t>外六角螺栓 M6x25</t>
  </si>
  <si>
    <t>FB1060302A</t>
  </si>
  <si>
    <t>外六角螺栓 M6x30</t>
  </si>
  <si>
    <t>FB1060352A</t>
  </si>
  <si>
    <t>外六角螺栓 M6x35</t>
  </si>
  <si>
    <t>FB1060402A</t>
  </si>
  <si>
    <t>外六角螺栓 M6x40</t>
  </si>
  <si>
    <t>FB1060452A</t>
  </si>
  <si>
    <t>外六角螺栓 M6x45</t>
  </si>
  <si>
    <t>FB1060502A</t>
  </si>
  <si>
    <t>外六角螺栓 M6x50</t>
  </si>
  <si>
    <t>FB1060552A</t>
  </si>
  <si>
    <t>外六角螺栓 M6x55</t>
  </si>
  <si>
    <t>FB1060602A</t>
  </si>
  <si>
    <t>外六角螺栓 M6x60</t>
  </si>
  <si>
    <t>FB20601200</t>
  </si>
  <si>
    <t>FB20601600</t>
  </si>
  <si>
    <t>FB20602000</t>
  </si>
  <si>
    <t>FB10603000</t>
  </si>
  <si>
    <t>FB10604500</t>
  </si>
  <si>
    <t>FB10605000</t>
  </si>
  <si>
    <t>FB10605500</t>
  </si>
  <si>
    <t>FB10606000</t>
  </si>
  <si>
    <t>FB2080122A</t>
  </si>
  <si>
    <t>FB2080162A</t>
  </si>
  <si>
    <t>外六角螺栓 M8x16</t>
  </si>
  <si>
    <t>FB2080202A</t>
  </si>
  <si>
    <t>FB2080252A</t>
  </si>
  <si>
    <t>外六角螺栓 M8x25</t>
  </si>
  <si>
    <t>FB2080302A</t>
  </si>
  <si>
    <t>外六角螺栓 M8x30</t>
  </si>
  <si>
    <t>FB2080352A</t>
  </si>
  <si>
    <t>外六角螺栓 M8x35</t>
  </si>
  <si>
    <t>FB1080402A</t>
  </si>
  <si>
    <t>外六角螺栓 M8x40</t>
  </si>
  <si>
    <t>FB1080452A</t>
  </si>
  <si>
    <t>外六角螺栓 M8x45</t>
  </si>
  <si>
    <t>FB1080502A</t>
  </si>
  <si>
    <t>外六角螺栓 M8x50</t>
  </si>
  <si>
    <t>FB1080552A</t>
  </si>
  <si>
    <t>外六角螺栓 M8x55</t>
  </si>
  <si>
    <t>FB1080602A</t>
  </si>
  <si>
    <t>外六角螺栓 M8x60</t>
  </si>
  <si>
    <t>FB1080702A</t>
  </si>
  <si>
    <t>外六角螺栓 M8x70</t>
  </si>
  <si>
    <t>FB20802000</t>
  </si>
  <si>
    <t>FB20802500</t>
  </si>
  <si>
    <t>FB20803000</t>
  </si>
  <si>
    <t>FB10805000</t>
  </si>
  <si>
    <t>FB10805500</t>
  </si>
  <si>
    <t>FB10806000</t>
  </si>
  <si>
    <t>FB10807000</t>
  </si>
  <si>
    <t>FB2100201A</t>
  </si>
  <si>
    <t>外六角螺栓 M10x20</t>
  </si>
  <si>
    <t>热镀锌, 锌层平均厚度≥50um, 局部厚度≥40um</t>
  </si>
  <si>
    <t>FB2100251A</t>
  </si>
  <si>
    <t>外六角螺栓 M10x25</t>
  </si>
  <si>
    <t>FB2100301A</t>
  </si>
  <si>
    <t>外六角螺栓 M10x30</t>
  </si>
  <si>
    <t>FB2100351A</t>
  </si>
  <si>
    <t>外六角螺栓 M10x35</t>
  </si>
  <si>
    <t>FB2100401A</t>
  </si>
  <si>
    <t>外六角螺栓 M10x40</t>
  </si>
  <si>
    <t>FB1100451A</t>
  </si>
  <si>
    <t>外六角螺栓 M10x45</t>
  </si>
  <si>
    <t>FB1100501A</t>
  </si>
  <si>
    <t>外六角螺栓 M10x50</t>
  </si>
  <si>
    <t>FB1100551A</t>
  </si>
  <si>
    <t>外六角螺栓 M10x55</t>
  </si>
  <si>
    <t>FB1100601A</t>
  </si>
  <si>
    <t>外六角螺栓 M10x60</t>
  </si>
  <si>
    <t>FB1100651A</t>
  </si>
  <si>
    <t>外六角螺栓 M10x65</t>
  </si>
  <si>
    <t>FB1100701A</t>
  </si>
  <si>
    <t>外六角螺栓 M10x70</t>
  </si>
  <si>
    <t>FB1100751A</t>
  </si>
  <si>
    <t>外六角螺栓 M10x75</t>
  </si>
  <si>
    <t>FB1100801A</t>
  </si>
  <si>
    <t>外六角螺栓 M10x80</t>
  </si>
  <si>
    <t>FB1100851A</t>
  </si>
  <si>
    <t>外六角螺栓 M10x85</t>
  </si>
  <si>
    <t>FB1100901A</t>
  </si>
  <si>
    <t>外六角螺栓 M10x90</t>
  </si>
  <si>
    <t>FB1100951A</t>
  </si>
  <si>
    <t>外六角螺栓 M10x95</t>
  </si>
  <si>
    <t>FB1101001A</t>
  </si>
  <si>
    <t>外六角螺栓 M10x100</t>
  </si>
  <si>
    <t>FB1101051A</t>
  </si>
  <si>
    <t>外六角螺栓 M10x105</t>
  </si>
  <si>
    <t>FB1101101A</t>
  </si>
  <si>
    <t>外六角螺栓 M10x110</t>
  </si>
  <si>
    <t>FB1101201A</t>
  </si>
  <si>
    <t>外六角螺栓 M10x120</t>
  </si>
  <si>
    <t>FB1101251A</t>
  </si>
  <si>
    <t>外六角螺栓 M10x125</t>
  </si>
  <si>
    <t>FB1101301A</t>
  </si>
  <si>
    <t>外六角螺栓 M10x130</t>
  </si>
  <si>
    <t>FB1101351A</t>
  </si>
  <si>
    <t>外六角螺栓 M10x135</t>
  </si>
  <si>
    <t>FB1101401A</t>
  </si>
  <si>
    <t>外六角螺栓 M10x140</t>
  </si>
  <si>
    <t>FB1101451A</t>
  </si>
  <si>
    <t>外六角螺栓 M10x145</t>
  </si>
  <si>
    <t>FB1101501A</t>
  </si>
  <si>
    <t>外六角螺栓 M10x150</t>
  </si>
  <si>
    <t>FB1101551A</t>
  </si>
  <si>
    <t>外六角螺栓 M10x155</t>
  </si>
  <si>
    <t>FB1101601A</t>
  </si>
  <si>
    <t>外六角螺栓 M10x160</t>
  </si>
  <si>
    <t>FB1101801A</t>
  </si>
  <si>
    <t>外六角螺栓 M10x180</t>
  </si>
  <si>
    <t>FB11004500</t>
  </si>
  <si>
    <t>FB11005000</t>
  </si>
  <si>
    <t>FB11005500</t>
  </si>
  <si>
    <t>FB11006000</t>
  </si>
  <si>
    <t>FB11006500</t>
  </si>
  <si>
    <t>FB11007000</t>
  </si>
  <si>
    <t>FB11007500</t>
  </si>
  <si>
    <t>FB11008000</t>
  </si>
  <si>
    <t>FB11008500</t>
  </si>
  <si>
    <t>FB11009000</t>
  </si>
  <si>
    <t>FB11009500</t>
  </si>
  <si>
    <t>FB11010000</t>
  </si>
  <si>
    <t>FB11010500</t>
  </si>
  <si>
    <t>FB11011000</t>
  </si>
  <si>
    <t>FB11011500</t>
  </si>
  <si>
    <t>外六角螺栓 M10x115</t>
  </si>
  <si>
    <t>FB11012000</t>
  </si>
  <si>
    <t>FB11012500</t>
  </si>
  <si>
    <t>FB11013000</t>
  </si>
  <si>
    <t>FB11013500</t>
  </si>
  <si>
    <t>FB11014000</t>
  </si>
  <si>
    <t>FB11014500</t>
  </si>
  <si>
    <t>FB11015000</t>
  </si>
  <si>
    <t>FB11015500</t>
  </si>
  <si>
    <t>FB11016000</t>
  </si>
  <si>
    <t>FB2120201A</t>
  </si>
  <si>
    <t>外六角螺栓 M12x20</t>
  </si>
  <si>
    <t>FB2120251A</t>
  </si>
  <si>
    <t>外六角螺栓 M12x25</t>
  </si>
  <si>
    <t>FB2120301A</t>
  </si>
  <si>
    <t>外六角螺栓 M12x30</t>
  </si>
  <si>
    <t>FB2120351A</t>
  </si>
  <si>
    <t>外六角螺栓 M12x35</t>
  </si>
  <si>
    <t>FB2120401A</t>
  </si>
  <si>
    <t>外六角螺栓 M12x40</t>
  </si>
  <si>
    <t>FB2120451A</t>
  </si>
  <si>
    <t>外六角螺栓 M12x45</t>
  </si>
  <si>
    <t>FB1120501A</t>
  </si>
  <si>
    <t>外六角螺栓 M12x50</t>
  </si>
  <si>
    <t>FB1120551A</t>
  </si>
  <si>
    <t>外六角螺栓 M12x55</t>
  </si>
  <si>
    <t>FB1120601A</t>
  </si>
  <si>
    <t>外六角螺栓 M12x60</t>
  </si>
  <si>
    <t>FB1120651A</t>
  </si>
  <si>
    <t>外六角螺栓 M12x65</t>
  </si>
  <si>
    <t>FB1120701A</t>
  </si>
  <si>
    <t>FB1120751A</t>
  </si>
  <si>
    <t>外六角螺栓 M12x75</t>
  </si>
  <si>
    <t>FB1120801A</t>
  </si>
  <si>
    <t>外六角螺栓 M12x80</t>
  </si>
  <si>
    <t>FB1120851A</t>
  </si>
  <si>
    <t>外六角螺栓 M12x85</t>
  </si>
  <si>
    <t>FB1120901A</t>
  </si>
  <si>
    <t>外六角螺栓 M12x90</t>
  </si>
  <si>
    <t>FB1120951A</t>
  </si>
  <si>
    <t>外六角螺栓 M12x95</t>
  </si>
  <si>
    <t>FB1121001A</t>
  </si>
  <si>
    <t>外六角螺栓 M12x100</t>
  </si>
  <si>
    <t>FB1121051A</t>
  </si>
  <si>
    <t>外六角螺栓 M12x105</t>
  </si>
  <si>
    <t>FB1121101A</t>
  </si>
  <si>
    <t>外六角螺栓 M12x110</t>
  </si>
  <si>
    <t>FB1121151A</t>
  </si>
  <si>
    <t>外六角螺栓 M12x115</t>
  </si>
  <si>
    <t>FB1121201A</t>
  </si>
  <si>
    <t>外六角螺栓 M12x120</t>
  </si>
  <si>
    <t>FB1121251A</t>
  </si>
  <si>
    <t>外六角螺栓 M12x125</t>
  </si>
  <si>
    <t>FB1121301A</t>
  </si>
  <si>
    <t>外六角螺栓 M12x130</t>
  </si>
  <si>
    <t>FB1121351A</t>
  </si>
  <si>
    <t>外六角螺栓 M12x135</t>
  </si>
  <si>
    <t>FB1121401A</t>
  </si>
  <si>
    <t>外六角螺栓 M12x140</t>
  </si>
  <si>
    <t>FB1121451A</t>
  </si>
  <si>
    <t>外六角螺栓 M12x145</t>
  </si>
  <si>
    <t>FB1121501A</t>
  </si>
  <si>
    <t>外六角螺栓 M12x150</t>
  </si>
  <si>
    <t>FB1121551A</t>
  </si>
  <si>
    <t>外六角螺栓 M12x155</t>
  </si>
  <si>
    <t>FB1121601A</t>
  </si>
  <si>
    <t>外六角螺栓 M12x160</t>
  </si>
  <si>
    <t>FB1121651A</t>
  </si>
  <si>
    <t>外六角螺栓 M12x165</t>
  </si>
  <si>
    <t>FB1121701A</t>
  </si>
  <si>
    <t>外六角螺栓 M12x170</t>
  </si>
  <si>
    <t>FB1121751A</t>
  </si>
  <si>
    <t>外六角螺栓 M12x175</t>
  </si>
  <si>
    <t>FB1121801A</t>
  </si>
  <si>
    <t>FB1121851A</t>
  </si>
  <si>
    <t>外六角螺栓 M12x185</t>
  </si>
  <si>
    <t>FB1121901A</t>
  </si>
  <si>
    <t>外六角螺栓 M12x190</t>
  </si>
  <si>
    <t>FB1121951A</t>
  </si>
  <si>
    <t>外六角螺栓 M12x195</t>
  </si>
  <si>
    <t>FB1122001A</t>
  </si>
  <si>
    <t>外六角螺栓 M12x200</t>
  </si>
  <si>
    <t>FB1122051A</t>
  </si>
  <si>
    <t>外六角螺栓 M12x205</t>
  </si>
  <si>
    <t>FB1122101A</t>
  </si>
  <si>
    <t>外六角螺栓 M12x210</t>
  </si>
  <si>
    <t>FB1122151A</t>
  </si>
  <si>
    <t>外六角螺栓 M12x215</t>
  </si>
  <si>
    <t>FB1122201A</t>
  </si>
  <si>
    <t>外六角螺栓 M12x220</t>
  </si>
  <si>
    <t>FB1122251A</t>
  </si>
  <si>
    <t>外六角螺栓 M12x225</t>
  </si>
  <si>
    <t>FB11205500</t>
  </si>
  <si>
    <t>FB11206500</t>
  </si>
  <si>
    <t>FB11207000</t>
  </si>
  <si>
    <t>FB11207500</t>
  </si>
  <si>
    <t>FB11208000</t>
  </si>
  <si>
    <t>FB11208500</t>
  </si>
  <si>
    <t>FB11209000</t>
  </si>
  <si>
    <t>FB11209500</t>
  </si>
  <si>
    <t>FB11210000</t>
  </si>
  <si>
    <t>FB11210500</t>
  </si>
  <si>
    <t>FB11211000</t>
  </si>
  <si>
    <t>FB11211500</t>
  </si>
  <si>
    <t>FB11212000</t>
  </si>
  <si>
    <t>FB11212500</t>
  </si>
  <si>
    <t>FB11213000</t>
  </si>
  <si>
    <t>FB11213500</t>
  </si>
  <si>
    <t>FB11214000</t>
  </si>
  <si>
    <t>FB11214500</t>
  </si>
  <si>
    <t>FB11215000</t>
  </si>
  <si>
    <t>FB11215500</t>
  </si>
  <si>
    <t>FB11216000</t>
  </si>
  <si>
    <t>FB11216500</t>
  </si>
  <si>
    <t>FB11217000</t>
  </si>
  <si>
    <t>FB11217500</t>
  </si>
  <si>
    <t>FB11218000</t>
  </si>
  <si>
    <t>FB11218500</t>
  </si>
  <si>
    <t>FB11219000</t>
  </si>
  <si>
    <t>FB11219500</t>
  </si>
  <si>
    <t>FB11220000</t>
  </si>
  <si>
    <t>FB11220500</t>
  </si>
  <si>
    <t>FB11221000</t>
  </si>
  <si>
    <t>FB11221500</t>
  </si>
  <si>
    <t>FB11222000</t>
  </si>
  <si>
    <t>FB11222500</t>
  </si>
  <si>
    <t>FB2140301A</t>
  </si>
  <si>
    <t>外六角螺栓 M14x30</t>
  </si>
  <si>
    <t>FB2140351A</t>
  </si>
  <si>
    <t>外六角螺栓 M14x35</t>
  </si>
  <si>
    <t>FB2140401A</t>
  </si>
  <si>
    <t>外六角螺栓 M14x40</t>
  </si>
  <si>
    <t>FB2140451A</t>
  </si>
  <si>
    <t>外六角螺栓 M14x45</t>
  </si>
  <si>
    <t>FB2140501A</t>
  </si>
  <si>
    <t>外六角螺栓 M14x50</t>
  </si>
  <si>
    <t>FB2140551A</t>
  </si>
  <si>
    <t>外六角螺栓 M14x55</t>
  </si>
  <si>
    <t>FB1140601A</t>
  </si>
  <si>
    <t>外六角螺栓 M14x60</t>
  </si>
  <si>
    <t>FB2140701A</t>
  </si>
  <si>
    <t>外六角螺栓 M14x70</t>
  </si>
  <si>
    <t>FB1141151A</t>
  </si>
  <si>
    <t>外六角螺栓 M14x115</t>
  </si>
  <si>
    <t>FB2160301A</t>
  </si>
  <si>
    <t>外六角螺栓 M16x30</t>
  </si>
  <si>
    <t>FB2160351A</t>
  </si>
  <si>
    <t>外六角螺栓 M16x35</t>
  </si>
  <si>
    <t>FB2160401A</t>
  </si>
  <si>
    <t>外六角螺栓 M16x40</t>
  </si>
  <si>
    <t>FB2160451A</t>
  </si>
  <si>
    <t>外六角螺栓 M16x45</t>
  </si>
  <si>
    <t>FB2160501A</t>
  </si>
  <si>
    <t>FB2160551A</t>
  </si>
  <si>
    <t>外六角螺栓 M16x55</t>
  </si>
  <si>
    <t>FB2160601A</t>
  </si>
  <si>
    <t>外六角螺栓 M16x60</t>
  </si>
  <si>
    <t>FB1160651A</t>
  </si>
  <si>
    <t>外六角螺栓 M16x65</t>
  </si>
  <si>
    <t>FB1160701A</t>
  </si>
  <si>
    <t>外六角螺栓 M16x70</t>
  </si>
  <si>
    <t>FB1160751A</t>
  </si>
  <si>
    <t>外六角螺栓 M16x75</t>
  </si>
  <si>
    <t>FB1160801A</t>
  </si>
  <si>
    <t>外六角螺栓 M16x80</t>
  </si>
  <si>
    <t>FB1160851A</t>
  </si>
  <si>
    <t>外六角螺栓 M16x85</t>
  </si>
  <si>
    <t>FB1160901A</t>
  </si>
  <si>
    <t>外六角螺栓 M16x90</t>
  </si>
  <si>
    <t>FB1160951A</t>
  </si>
  <si>
    <t>外六角螺栓 M16x95</t>
  </si>
  <si>
    <t>FB1161001A</t>
  </si>
  <si>
    <t>外六角螺栓 M16x100</t>
  </si>
  <si>
    <t>FB1161051A</t>
  </si>
  <si>
    <t>外六角螺栓 M16x105</t>
  </si>
  <si>
    <t>FB1161101A</t>
  </si>
  <si>
    <t>外六角螺栓 M16x110</t>
  </si>
  <si>
    <t>FB1161151A</t>
  </si>
  <si>
    <t>外六角螺栓 M16x115</t>
  </si>
  <si>
    <t>FB1161201A</t>
  </si>
  <si>
    <t>外六角螺栓 M16x120</t>
  </si>
  <si>
    <t>FB1161251A</t>
  </si>
  <si>
    <t>外六角螺栓 M16x125</t>
  </si>
  <si>
    <t>FB1161301A</t>
  </si>
  <si>
    <t>外六角螺栓 M16x130</t>
  </si>
  <si>
    <t>FB1161351A</t>
  </si>
  <si>
    <t>外六角螺栓 M16x135</t>
  </si>
  <si>
    <t>FB1161401A</t>
  </si>
  <si>
    <t>外六角螺栓 M16x140</t>
  </si>
  <si>
    <t>FB1161451A</t>
  </si>
  <si>
    <t>外六角螺栓 M16x145</t>
  </si>
  <si>
    <t>FB1161501A</t>
  </si>
  <si>
    <t>外六角螺栓 M16x150</t>
  </si>
  <si>
    <t>FB1161551A</t>
  </si>
  <si>
    <t>外六角螺栓 M16x155</t>
  </si>
  <si>
    <t>FB1161601A</t>
  </si>
  <si>
    <t>外六角螺栓 M16x160</t>
  </si>
  <si>
    <t>FB1161651A</t>
  </si>
  <si>
    <t>外六角螺栓 M16x165</t>
  </si>
  <si>
    <t>FB1161701A</t>
  </si>
  <si>
    <t>外六角螺栓 M16x170</t>
  </si>
  <si>
    <t>FB1161751A</t>
  </si>
  <si>
    <t>外六角螺栓 M16x175</t>
  </si>
  <si>
    <t>FB1161801A</t>
  </si>
  <si>
    <t>外六角螺栓 M16x180</t>
  </si>
  <si>
    <t>FB1161851A</t>
  </si>
  <si>
    <t>外六角螺栓 M16x185</t>
  </si>
  <si>
    <t>FB1161901A</t>
  </si>
  <si>
    <t>FB1161951A</t>
  </si>
  <si>
    <t>外六角螺栓 M16x195</t>
  </si>
  <si>
    <t>FB2180351A</t>
  </si>
  <si>
    <t>外六角螺栓 M18x35</t>
  </si>
  <si>
    <t>FB2180401A</t>
  </si>
  <si>
    <t>外六角螺栓 M18x40</t>
  </si>
  <si>
    <t>FB2180451A</t>
  </si>
  <si>
    <t>外六角螺栓 M18x45</t>
  </si>
  <si>
    <t>FB2180501A</t>
  </si>
  <si>
    <t>外六角螺栓 M18x50</t>
  </si>
  <si>
    <t>FB2180551A</t>
  </si>
  <si>
    <t>外六角螺栓 M18x55</t>
  </si>
  <si>
    <t>FB2180601A</t>
  </si>
  <si>
    <t>外六角螺栓 M18x60</t>
  </si>
  <si>
    <t>FB2200401A</t>
  </si>
  <si>
    <t>外六角螺栓 M20x40</t>
  </si>
  <si>
    <t>FB2200451A</t>
  </si>
  <si>
    <t>外六角螺栓 M20x45</t>
  </si>
  <si>
    <t>FB2200501A</t>
  </si>
  <si>
    <t>外六角螺栓 M20x50</t>
  </si>
  <si>
    <t>FB2200551A</t>
  </si>
  <si>
    <t>外六角螺栓 M20x55</t>
  </si>
  <si>
    <t>FB2200601A</t>
  </si>
  <si>
    <t>外六角螺栓 M20x60</t>
  </si>
  <si>
    <t>FB2200651A</t>
  </si>
  <si>
    <t>外六角螺栓 M20x65</t>
  </si>
  <si>
    <t>FB2200701A</t>
  </si>
  <si>
    <t>外六角螺栓 M20x70</t>
  </si>
  <si>
    <t>FB2200751A</t>
  </si>
  <si>
    <t>外六角螺栓 M20x75</t>
  </si>
  <si>
    <t>FB1200801A</t>
  </si>
  <si>
    <t>外六角螺栓 M20x80</t>
  </si>
  <si>
    <t>FB2220451A</t>
  </si>
  <si>
    <t>外六角螺栓 M22x45</t>
  </si>
  <si>
    <t>FB2220501A</t>
  </si>
  <si>
    <t>外六角螺栓 M22x50</t>
  </si>
  <si>
    <t>FB2220551A</t>
  </si>
  <si>
    <t>外六角螺栓 M22x55</t>
  </si>
  <si>
    <t>FB2220601A</t>
  </si>
  <si>
    <t>外六角螺栓 M22x60</t>
  </si>
  <si>
    <t>FB2220651A</t>
  </si>
  <si>
    <t>外六角螺栓 M22x65</t>
  </si>
  <si>
    <t>FB2220701A</t>
  </si>
  <si>
    <t>外六角螺栓 M22x70</t>
  </si>
  <si>
    <t>FB2220751A</t>
  </si>
  <si>
    <t>外六角螺栓 M22x75</t>
  </si>
  <si>
    <t>FB2220801A</t>
  </si>
  <si>
    <t>外六角螺栓 M22x80</t>
  </si>
  <si>
    <t>FB2240451A</t>
  </si>
  <si>
    <t>外六角螺栓 M24x45</t>
  </si>
  <si>
    <t>FB2240501A</t>
  </si>
  <si>
    <t>外六角螺栓 M24x50</t>
  </si>
  <si>
    <t>FB2240551A</t>
  </si>
  <si>
    <t>外六角螺栓 M24x55</t>
  </si>
  <si>
    <t>FB2240601A</t>
  </si>
  <si>
    <t>外六角螺栓 M24x60</t>
  </si>
  <si>
    <t>FB8141501A</t>
  </si>
  <si>
    <t>膨胀螺栓 M14x150</t>
  </si>
  <si>
    <t>JB/ZQ 4763</t>
  </si>
  <si>
    <t>FB0120701A</t>
  </si>
  <si>
    <t>GB/T 31.1, 8.8级</t>
  </si>
  <si>
    <t>FB0120801A</t>
  </si>
  <si>
    <t>FB0120351A</t>
  </si>
  <si>
    <t>T型槽用螺栓 M12x35</t>
  </si>
  <si>
    <t>GB/T 37</t>
  </si>
  <si>
    <t>热镀锌, 锌层平均厚度≥40um, 局部厚度≥35um</t>
  </si>
  <si>
    <t>内螺栓</t>
  </si>
  <si>
    <t>FB50400800</t>
  </si>
  <si>
    <t>内六角盘头螺钉 M4x8</t>
  </si>
  <si>
    <t>GB/T 70.2, A2-70</t>
  </si>
  <si>
    <t>焦鸣吉</t>
  </si>
  <si>
    <t>FB50804000</t>
  </si>
  <si>
    <t>内六角螺栓 M8x40</t>
  </si>
  <si>
    <t>GB/T 70.1, A2-70</t>
  </si>
  <si>
    <t>FB50601600</t>
  </si>
  <si>
    <t>内六角盘头螺钉 M6x16</t>
  </si>
  <si>
    <t>吴光伟</t>
  </si>
  <si>
    <t>2022.12.23</t>
  </si>
  <si>
    <t>FB70300800</t>
  </si>
  <si>
    <t>十字槽盘头螺钉 M3x8</t>
  </si>
  <si>
    <t>GB/T 818, A2-70</t>
  </si>
  <si>
    <t>FB50401200</t>
  </si>
  <si>
    <t>内六角盘头螺钉 M4x12</t>
  </si>
  <si>
    <t>2023.01.06</t>
  </si>
  <si>
    <t>FB50501200</t>
  </si>
  <si>
    <t>内六角盘头螺钉 M5x12</t>
  </si>
  <si>
    <t>2023.03.13</t>
  </si>
  <si>
    <t>FB50401400</t>
  </si>
  <si>
    <t>内六角盘头螺钉 M4x14</t>
  </si>
  <si>
    <t>FB50601200</t>
  </si>
  <si>
    <t>内六角薄平头螺钉 M6x12</t>
  </si>
  <si>
    <t>国标 A2-70</t>
  </si>
  <si>
    <t>李健民</t>
  </si>
  <si>
    <t>十字螺钉</t>
  </si>
  <si>
    <t>FB70401000</t>
  </si>
  <si>
    <t>十字槽盘头螺钉 M4x10</t>
  </si>
  <si>
    <t>FB70401600</t>
  </si>
  <si>
    <t>十字槽盘头螺钉 M4x16</t>
  </si>
  <si>
    <t>2023.05.08</t>
  </si>
  <si>
    <t>FB70302500</t>
  </si>
  <si>
    <t>十字槽盘头螺钉 M3x25</t>
  </si>
  <si>
    <t>FS10300600</t>
  </si>
  <si>
    <t>十字槽盘头自挤螺钉M3x6</t>
  </si>
  <si>
    <t>GB／T 6560-2014</t>
  </si>
  <si>
    <t>FS10400800</t>
  </si>
  <si>
    <t>十字槽盘头自挤螺钉M4x8</t>
  </si>
  <si>
    <t>十字槽盘头三组合螺钉</t>
  </si>
  <si>
    <t>FS10300800</t>
  </si>
  <si>
    <t>十字槽盘头三组合螺钉M3x8</t>
  </si>
  <si>
    <t>GB 9074.4</t>
  </si>
  <si>
    <t>螺母FN</t>
  </si>
  <si>
    <t>螺母</t>
  </si>
  <si>
    <t>FN1040002A</t>
  </si>
  <si>
    <t>六角螺母 M4</t>
  </si>
  <si>
    <t>GB/T 6170, 8级</t>
  </si>
  <si>
    <t>机械镀锌，锌层平均厚度≥50um，局部厚度≥40um</t>
  </si>
  <si>
    <t>FN1030002A</t>
  </si>
  <si>
    <t>六角螺母 M3</t>
  </si>
  <si>
    <t>FN1050002A</t>
  </si>
  <si>
    <t>六角螺母 M5</t>
  </si>
  <si>
    <t>FN1060002A</t>
  </si>
  <si>
    <t>六角螺母 M6</t>
  </si>
  <si>
    <t>FN1080002A</t>
  </si>
  <si>
    <t>FN1100001A</t>
  </si>
  <si>
    <t>六角螺母 M10</t>
  </si>
  <si>
    <t>热镀锌，锌层平均厚度≥50um，局部厚度≥40um</t>
  </si>
  <si>
    <t>FN1120001A</t>
  </si>
  <si>
    <t>FN1140001A</t>
  </si>
  <si>
    <t>六角螺母 M14</t>
  </si>
  <si>
    <t>FN1160001A</t>
  </si>
  <si>
    <t>FN1180001A</t>
  </si>
  <si>
    <t>六角螺母 M18</t>
  </si>
  <si>
    <t>FN1200001A</t>
  </si>
  <si>
    <t>六角螺母 M20</t>
  </si>
  <si>
    <t>FN1220001A</t>
  </si>
  <si>
    <t>六角螺母 M22</t>
  </si>
  <si>
    <t>FN1240001A</t>
  </si>
  <si>
    <t>六角螺母 M24</t>
  </si>
  <si>
    <t>FN2100001A</t>
  </si>
  <si>
    <t>六角法兰面螺母 M10</t>
  </si>
  <si>
    <t>GB/T 6177.1, 8级</t>
  </si>
  <si>
    <t>FN2120001A</t>
  </si>
  <si>
    <t>六角法兰面螺母 M12</t>
  </si>
  <si>
    <t>FN3080002A</t>
  </si>
  <si>
    <t>非金属嵌件薄型锁紧螺母 M8</t>
  </si>
  <si>
    <t>DIN 985</t>
  </si>
  <si>
    <t>FN3040002A</t>
  </si>
  <si>
    <t>1型非金属嵌件六角锁紧螺母 M4</t>
  </si>
  <si>
    <t>GB /T 889.1</t>
  </si>
  <si>
    <t>FN10300000</t>
  </si>
  <si>
    <t>GB/T 6170, A2-70</t>
  </si>
  <si>
    <t>FN10400000</t>
  </si>
  <si>
    <t>FN10500000</t>
  </si>
  <si>
    <t>FN10600000</t>
  </si>
  <si>
    <t>FN10800000</t>
  </si>
  <si>
    <t>FN11000000</t>
  </si>
  <si>
    <t>FN11200000</t>
  </si>
  <si>
    <t>销类FP</t>
  </si>
  <si>
    <t>销类</t>
  </si>
  <si>
    <t>FP23201000</t>
  </si>
  <si>
    <t>开口销 3.2x10</t>
  </si>
  <si>
    <t>FP23201200</t>
  </si>
  <si>
    <t>开口销 3.2x12</t>
  </si>
  <si>
    <t>FP23201400</t>
  </si>
  <si>
    <t>开口销 3.2x14</t>
  </si>
  <si>
    <t>FP23201600</t>
  </si>
  <si>
    <t>开口销 3.2x16</t>
  </si>
  <si>
    <t>FP23201800</t>
  </si>
  <si>
    <t>开口销 3.2x18</t>
  </si>
  <si>
    <t>FP23202000</t>
  </si>
  <si>
    <t>开口销 3.2x20</t>
  </si>
  <si>
    <t>FP23202200</t>
  </si>
  <si>
    <t>开口销 3.2x22</t>
  </si>
  <si>
    <t>FP24001000</t>
  </si>
  <si>
    <t>开口销 4x10</t>
  </si>
  <si>
    <t>FP24001200</t>
  </si>
  <si>
    <t>开口销 4x12</t>
  </si>
  <si>
    <t>FP24001400</t>
  </si>
  <si>
    <t>开口销 4x14</t>
  </si>
  <si>
    <t>FP24001600</t>
  </si>
  <si>
    <t>开口销 4x16</t>
  </si>
  <si>
    <t>FP24001800</t>
  </si>
  <si>
    <t>开口销 4x18</t>
  </si>
  <si>
    <t>FP24002000</t>
  </si>
  <si>
    <t>开口销 4x20</t>
  </si>
  <si>
    <t>FP24002200</t>
  </si>
  <si>
    <t>开口销 4x22</t>
  </si>
  <si>
    <t>FP24004000</t>
  </si>
  <si>
    <t>开口销 4x40</t>
  </si>
  <si>
    <t>FP25001000</t>
  </si>
  <si>
    <t>开口销 5x10</t>
  </si>
  <si>
    <t>FP25001200</t>
  </si>
  <si>
    <t>开口销 5x12</t>
  </si>
  <si>
    <t>FP25001400</t>
  </si>
  <si>
    <t>开口销 5x14</t>
  </si>
  <si>
    <t>FP25001600</t>
  </si>
  <si>
    <t>开口销 5x16</t>
  </si>
  <si>
    <t>FP25001800</t>
  </si>
  <si>
    <t>开口销 5x18</t>
  </si>
  <si>
    <t>FP25002000</t>
  </si>
  <si>
    <t>开口销 5x20</t>
  </si>
  <si>
    <t>FP25002200</t>
  </si>
  <si>
    <t>开口销 5x22</t>
  </si>
  <si>
    <t>FP25005000</t>
  </si>
  <si>
    <t>FP26301000</t>
  </si>
  <si>
    <t>开口销 6.3x10</t>
  </si>
  <si>
    <t>FP26301200</t>
  </si>
  <si>
    <t>开口销 6.3x12</t>
  </si>
  <si>
    <t>FP26301400</t>
  </si>
  <si>
    <t>开口销 6.3x14</t>
  </si>
  <si>
    <t>FP26301600</t>
  </si>
  <si>
    <t>开口销 6.3x16</t>
  </si>
  <si>
    <t>FP26301800</t>
  </si>
  <si>
    <t>开口销 6.3x18</t>
  </si>
  <si>
    <t>FP26302000</t>
  </si>
  <si>
    <t>开口销 6.3x20</t>
  </si>
  <si>
    <t>FP1160308A</t>
  </si>
  <si>
    <t>销轴 16x30x4x24</t>
  </si>
  <si>
    <t>GB/T 882</t>
  </si>
  <si>
    <t>45#</t>
  </si>
  <si>
    <t>热渗锌, 锌层平均厚度≥50um，局部厚度≥40um</t>
  </si>
  <si>
    <t>FP1160358A</t>
  </si>
  <si>
    <t>销轴 16x35x4x29</t>
  </si>
  <si>
    <t>FP1160408A</t>
  </si>
  <si>
    <t>销轴 16x40x4x34</t>
  </si>
  <si>
    <t>FP1160458A</t>
  </si>
  <si>
    <t>销轴 16x45x4x39</t>
  </si>
  <si>
    <t>FP1160508A</t>
  </si>
  <si>
    <t>销轴 16x50x4x44</t>
  </si>
  <si>
    <t>FP1160558A</t>
  </si>
  <si>
    <t>销轴 16x55x4x49</t>
  </si>
  <si>
    <t>FP1160608A</t>
  </si>
  <si>
    <t>销轴 16x60x4x54</t>
  </si>
  <si>
    <t>FP1160658A</t>
  </si>
  <si>
    <t>销轴 16x65x4x59</t>
  </si>
  <si>
    <t>FP1160708A</t>
  </si>
  <si>
    <t>销轴 16x70x4x64</t>
  </si>
  <si>
    <t>FP1160758A</t>
  </si>
  <si>
    <t>销轴 16x75x4x69</t>
  </si>
  <si>
    <t>FP1160808A</t>
  </si>
  <si>
    <t>销轴 16x80x4x74</t>
  </si>
  <si>
    <t>FP1160858A</t>
  </si>
  <si>
    <t>销轴 16x85x4x79</t>
  </si>
  <si>
    <t>FP1160908A</t>
  </si>
  <si>
    <t>销轴 16x90x4x84</t>
  </si>
  <si>
    <t>FP1160958A</t>
  </si>
  <si>
    <t>销轴 16x95x4x89</t>
  </si>
  <si>
    <t>FP1161008A</t>
  </si>
  <si>
    <t>销轴 16x100x4x94</t>
  </si>
  <si>
    <t>FP1161058A</t>
  </si>
  <si>
    <t>销轴 16x105x4x99</t>
  </si>
  <si>
    <t>FP1161108A</t>
  </si>
  <si>
    <t>销轴 16x110x4x104</t>
  </si>
  <si>
    <t>FP1161158A</t>
  </si>
  <si>
    <t>销轴 16x115x4x109</t>
  </si>
  <si>
    <t>FP1161208A</t>
  </si>
  <si>
    <t>销轴 16x120x4x114</t>
  </si>
  <si>
    <t>FP1161258A</t>
  </si>
  <si>
    <t>销轴 16x125x4x119</t>
  </si>
  <si>
    <t>FP1161308A</t>
  </si>
  <si>
    <t>销轴 16x130x4x124</t>
  </si>
  <si>
    <t>FP1161358A</t>
  </si>
  <si>
    <t>销轴 16x135x4x129</t>
  </si>
  <si>
    <t>FP1161408A</t>
  </si>
  <si>
    <t>销轴 16x140x4x134</t>
  </si>
  <si>
    <t>FP1161458A</t>
  </si>
  <si>
    <t>销轴 16x145x4x139</t>
  </si>
  <si>
    <t>FP1161508A</t>
  </si>
  <si>
    <t>销轴 16x150x4x144</t>
  </si>
  <si>
    <t>FP1161558A</t>
  </si>
  <si>
    <t>销轴 16x155x4x149</t>
  </si>
  <si>
    <t>FP1161608A</t>
  </si>
  <si>
    <t>销轴 16x160x4x154</t>
  </si>
  <si>
    <t>FP1161658A</t>
  </si>
  <si>
    <t>销轴 16x165x4x159</t>
  </si>
  <si>
    <t>FP1161708A</t>
  </si>
  <si>
    <t>销轴 16x170x4x164</t>
  </si>
  <si>
    <t>FP1161758A</t>
  </si>
  <si>
    <t>销轴 16x175x4x169</t>
  </si>
  <si>
    <t>FP1180308A</t>
  </si>
  <si>
    <t>销轴 18x30x5x23</t>
  </si>
  <si>
    <t>FP1180358A</t>
  </si>
  <si>
    <t>销轴 18x35x5x28</t>
  </si>
  <si>
    <t>FP1180408A</t>
  </si>
  <si>
    <t>销轴 18x40x5x33</t>
  </si>
  <si>
    <t>FP1180458A</t>
  </si>
  <si>
    <t>销轴 18x45x5x38</t>
  </si>
  <si>
    <t>FP1180508A</t>
  </si>
  <si>
    <t>销轴 18x50x5x43</t>
  </si>
  <si>
    <t>FP1180558A</t>
  </si>
  <si>
    <t>销轴 18x55x5x48</t>
  </si>
  <si>
    <t>FP1180608A</t>
  </si>
  <si>
    <t>销轴 18x60x5x53</t>
  </si>
  <si>
    <t>FP1180658A</t>
  </si>
  <si>
    <t>销轴 18x65x5x58</t>
  </si>
  <si>
    <t>FP1180708A</t>
  </si>
  <si>
    <t>销轴 18x70x5x63</t>
  </si>
  <si>
    <t>FP1180758A</t>
  </si>
  <si>
    <t>销轴 18x75x5x68</t>
  </si>
  <si>
    <t>FP1180808A</t>
  </si>
  <si>
    <t>销轴 18x80x5x73</t>
  </si>
  <si>
    <t>FP1180858A</t>
  </si>
  <si>
    <t>销轴 18x85x5x78</t>
  </si>
  <si>
    <t>FP1180908A</t>
  </si>
  <si>
    <t>销轴 18x90x5x83</t>
  </si>
  <si>
    <t>FP1180958A</t>
  </si>
  <si>
    <t>销轴 18x95x5x88</t>
  </si>
  <si>
    <t>FP1181008A</t>
  </si>
  <si>
    <t>销轴 18x100x5x93</t>
  </si>
  <si>
    <t>FP1181058A</t>
  </si>
  <si>
    <t>销轴 18x105x5x98</t>
  </si>
  <si>
    <t>FP1181108A</t>
  </si>
  <si>
    <t>销轴 18x110x5x103</t>
  </si>
  <si>
    <t>FP1181158A</t>
  </si>
  <si>
    <t>销轴 18x115x5x108</t>
  </si>
  <si>
    <t>FP1181208A</t>
  </si>
  <si>
    <t>销轴 18x120x5x113</t>
  </si>
  <si>
    <t>FP1181258A</t>
  </si>
  <si>
    <t>销轴 18x125x5x118</t>
  </si>
  <si>
    <t>FP1181308A</t>
  </si>
  <si>
    <t>销轴 18x130x5x123</t>
  </si>
  <si>
    <t>FP1181358A</t>
  </si>
  <si>
    <t>销轴 18x135x5x128</t>
  </si>
  <si>
    <t>FP1181408A</t>
  </si>
  <si>
    <t>销轴 18x140x5x133</t>
  </si>
  <si>
    <t>FP1181458A</t>
  </si>
  <si>
    <t>销轴 18x145x5x138</t>
  </si>
  <si>
    <t>FP1181508A</t>
  </si>
  <si>
    <t>销轴 18x150x5x143</t>
  </si>
  <si>
    <t>FP1181558A</t>
  </si>
  <si>
    <t>销轴 18x155x5x148</t>
  </si>
  <si>
    <t>FP1181608A</t>
  </si>
  <si>
    <t>销轴 18x160x5x153</t>
  </si>
  <si>
    <t>FP1181658A</t>
  </si>
  <si>
    <t>销轴 18x165x5x158</t>
  </si>
  <si>
    <t>FP1181708A</t>
  </si>
  <si>
    <t>销轴 18x170x5x163</t>
  </si>
  <si>
    <t>FP1181758A</t>
  </si>
  <si>
    <t>销轴 18x175x5x168</t>
  </si>
  <si>
    <t>FP1200308A</t>
  </si>
  <si>
    <t>销轴 20x30x5x22</t>
  </si>
  <si>
    <t>FP1200358A</t>
  </si>
  <si>
    <t>销轴 20x35x5x27</t>
  </si>
  <si>
    <t>FP1200408A</t>
  </si>
  <si>
    <t>销轴 20x40x5x32</t>
  </si>
  <si>
    <t>FP1200458A</t>
  </si>
  <si>
    <t>销轴 20x45x5x37</t>
  </si>
  <si>
    <t>FP1200508A</t>
  </si>
  <si>
    <t>销轴 20x50x5x42</t>
  </si>
  <si>
    <t>FP1200558A</t>
  </si>
  <si>
    <t>销轴 20x55x5x47</t>
  </si>
  <si>
    <t>FP1200608A</t>
  </si>
  <si>
    <t>销轴 20x60x5x52</t>
  </si>
  <si>
    <t>FP1200658A</t>
  </si>
  <si>
    <t>销轴 20x65x5x57</t>
  </si>
  <si>
    <t>FP1200708A</t>
  </si>
  <si>
    <t>销轴 20x70x5x62</t>
  </si>
  <si>
    <t>FP1200758A</t>
  </si>
  <si>
    <t>销轴 20x75x5x67</t>
  </si>
  <si>
    <t>FP1200808A</t>
  </si>
  <si>
    <t>销轴 20x80x5x72</t>
  </si>
  <si>
    <t>FP1200858A</t>
  </si>
  <si>
    <t>销轴 20x85x5x77</t>
  </si>
  <si>
    <t>FP1200908A</t>
  </si>
  <si>
    <t>销轴 20x90x5x82</t>
  </si>
  <si>
    <t>FP1200958A</t>
  </si>
  <si>
    <t>销轴 20x95x5x87</t>
  </si>
  <si>
    <t>FP1201008A</t>
  </si>
  <si>
    <t>销轴 20x100x5x92</t>
  </si>
  <si>
    <t>FP1201058A</t>
  </si>
  <si>
    <t>销轴 20x105x5x97</t>
  </si>
  <si>
    <t>FP1201108A</t>
  </si>
  <si>
    <t>销轴 20x110x5x102</t>
  </si>
  <si>
    <t>FP1201158A</t>
  </si>
  <si>
    <t>销轴 20x115x5x107</t>
  </si>
  <si>
    <t>FP1201208A</t>
  </si>
  <si>
    <t>销轴 20x120x5x112</t>
  </si>
  <si>
    <t>FP1201258A</t>
  </si>
  <si>
    <t>销轴 20x125x5x117</t>
  </si>
  <si>
    <t>FP1201308A</t>
  </si>
  <si>
    <t>销轴 20x130x5x122</t>
  </si>
  <si>
    <t>FP1201358A</t>
  </si>
  <si>
    <t>销轴 20x135x5x127</t>
  </si>
  <si>
    <t>FP1201408A</t>
  </si>
  <si>
    <t>销轴 20x140x5x132</t>
  </si>
  <si>
    <t>FP1201458A</t>
  </si>
  <si>
    <t>销轴 20x145x5x137</t>
  </si>
  <si>
    <t>FP1201508A</t>
  </si>
  <si>
    <t>销轴 20x150x5x142</t>
  </si>
  <si>
    <t>FP1201558A</t>
  </si>
  <si>
    <t>销轴 20x155x5x147</t>
  </si>
  <si>
    <t>FP1201608A</t>
  </si>
  <si>
    <t>销轴 20x160x5x152</t>
  </si>
  <si>
    <t>FP1201658A</t>
  </si>
  <si>
    <t>销轴 20x165x5x157</t>
  </si>
  <si>
    <t>FP1201708A</t>
  </si>
  <si>
    <t>销轴 20x170x5x162</t>
  </si>
  <si>
    <t>FP1201758A</t>
  </si>
  <si>
    <t>销轴 20x175x5x167</t>
  </si>
  <si>
    <t>FP1220308A</t>
  </si>
  <si>
    <t>销轴 22x30x5x22</t>
  </si>
  <si>
    <t>FP1220358A</t>
  </si>
  <si>
    <t>销轴 22x35x5x27</t>
  </si>
  <si>
    <t>FP1220408A</t>
  </si>
  <si>
    <t>销轴 22x40x5x32</t>
  </si>
  <si>
    <t>FP1220458A</t>
  </si>
  <si>
    <t>销轴 22x45x5x37</t>
  </si>
  <si>
    <t>FP1220508A</t>
  </si>
  <si>
    <t>销轴 22x50x5x42</t>
  </si>
  <si>
    <t>FP1220558A</t>
  </si>
  <si>
    <t>销轴 22x55x5x47</t>
  </si>
  <si>
    <t>FP1220608A</t>
  </si>
  <si>
    <t>销轴 22x60x5x52</t>
  </si>
  <si>
    <t>FP1220658A</t>
  </si>
  <si>
    <t>销轴 22x65x5x57</t>
  </si>
  <si>
    <t>FP1220708A</t>
  </si>
  <si>
    <t>销轴 22x70x5x62</t>
  </si>
  <si>
    <t>FP1220758A</t>
  </si>
  <si>
    <t>销轴 22x75x5x67</t>
  </si>
  <si>
    <t>FP1220808A</t>
  </si>
  <si>
    <t>销轴 22x80x5x72</t>
  </si>
  <si>
    <t>FP1220858A</t>
  </si>
  <si>
    <t>销轴 22x85x5x77</t>
  </si>
  <si>
    <t>FP1220908A</t>
  </si>
  <si>
    <t>销轴 22x90x5x82</t>
  </si>
  <si>
    <t>FP1220958A</t>
  </si>
  <si>
    <t>销轴 22x95x5x87</t>
  </si>
  <si>
    <t>FP1221008A</t>
  </si>
  <si>
    <t>销轴 22x100x5x92</t>
  </si>
  <si>
    <t>FP1221058A</t>
  </si>
  <si>
    <t>销轴 22x105x5x97</t>
  </si>
  <si>
    <t>FP1221108A</t>
  </si>
  <si>
    <t>销轴 22x110x5x102</t>
  </si>
  <si>
    <t>FP1221158A</t>
  </si>
  <si>
    <t>销轴 22x115x5x107</t>
  </si>
  <si>
    <t>FP1221208A</t>
  </si>
  <si>
    <t>销轴 22x120x5x112</t>
  </si>
  <si>
    <t>FP1221258A</t>
  </si>
  <si>
    <t>销轴 22x125x5x117</t>
  </si>
  <si>
    <t>FP1221308A</t>
  </si>
  <si>
    <t>销轴 22x130x5x122</t>
  </si>
  <si>
    <t>FP1221358A</t>
  </si>
  <si>
    <t>销轴 22x135x5x127</t>
  </si>
  <si>
    <t>FP1221408A</t>
  </si>
  <si>
    <t>销轴 22x140x5x132</t>
  </si>
  <si>
    <t>FP1221458A</t>
  </si>
  <si>
    <t>销轴 22x145x5x137</t>
  </si>
  <si>
    <t>FP1221508A</t>
  </si>
  <si>
    <t>销轴 22x150x5x142</t>
  </si>
  <si>
    <t>FP1221558A</t>
  </si>
  <si>
    <t>销轴 22x155x5x147</t>
  </si>
  <si>
    <t>FP1221608A</t>
  </si>
  <si>
    <t>销轴 22x160x5x152</t>
  </si>
  <si>
    <t>FP1221658A</t>
  </si>
  <si>
    <t>销轴 22x165x5x157</t>
  </si>
  <si>
    <t>FP1221708A</t>
  </si>
  <si>
    <t>销轴 22x170x5x162</t>
  </si>
  <si>
    <t>FP1221758A</t>
  </si>
  <si>
    <t>销轴 22x175x5x167</t>
  </si>
  <si>
    <t>FP1240308A</t>
  </si>
  <si>
    <t>销轴 24x30x6.3x21</t>
  </si>
  <si>
    <t>FP1240358A</t>
  </si>
  <si>
    <t>销轴 24x35x6.3x26</t>
  </si>
  <si>
    <t>FP1240408A</t>
  </si>
  <si>
    <t>销轴 24x40x6.3x31</t>
  </si>
  <si>
    <t>FP1240458A</t>
  </si>
  <si>
    <t>销轴 24x45x6.3x36</t>
  </si>
  <si>
    <t>FP1240508A</t>
  </si>
  <si>
    <t>销轴 24x50x6.3x41</t>
  </si>
  <si>
    <t>FP1240558A</t>
  </si>
  <si>
    <t>销轴 24x55x6.3x46</t>
  </si>
  <si>
    <t>FP1240608A</t>
  </si>
  <si>
    <t>销轴 24x60x6.3x51</t>
  </si>
  <si>
    <t>FP1240658A</t>
  </si>
  <si>
    <t>销轴 24x65x6.3x56</t>
  </si>
  <si>
    <t>FP1240708A</t>
  </si>
  <si>
    <t>销轴 24x70x6.3x61</t>
  </si>
  <si>
    <t>FP1240758A</t>
  </si>
  <si>
    <t>销轴 24x75x6.3x66</t>
  </si>
  <si>
    <t>FP1240808A</t>
  </si>
  <si>
    <t>销轴 24x80x6.3x71</t>
  </si>
  <si>
    <t>FP1240858A</t>
  </si>
  <si>
    <t>销轴 24x85x6.3x76</t>
  </si>
  <si>
    <t>FP1240908A</t>
  </si>
  <si>
    <t>销轴 24x90x6.3x81</t>
  </si>
  <si>
    <t>FP1240958A</t>
  </si>
  <si>
    <t>销轴 24x95x6.3x86</t>
  </si>
  <si>
    <t>FP1241008A</t>
  </si>
  <si>
    <t>销轴 24x100x6.3x91</t>
  </si>
  <si>
    <t>FP1241058A</t>
  </si>
  <si>
    <t>销轴 24x105x6.3x96</t>
  </si>
  <si>
    <t>FP1241108A</t>
  </si>
  <si>
    <t>销轴 24x110x6.3x101</t>
  </si>
  <si>
    <t>FP1241158A</t>
  </si>
  <si>
    <t>销轴 24x115x6.3x106</t>
  </si>
  <si>
    <t>FP1241208A</t>
  </si>
  <si>
    <t>销轴 24x120x6.3x111</t>
  </si>
  <si>
    <t>FP1241258A</t>
  </si>
  <si>
    <t>销轴 24x125x6.3x116</t>
  </si>
  <si>
    <t>FP1241308A</t>
  </si>
  <si>
    <t>销轴 24x130x6.3x121</t>
  </si>
  <si>
    <t>FP1241358A</t>
  </si>
  <si>
    <t>销轴 24x135x6.3x126</t>
  </si>
  <si>
    <t>FP1241408A</t>
  </si>
  <si>
    <t>销轴 24x140x6.3x131</t>
  </si>
  <si>
    <t>FP1241458A</t>
  </si>
  <si>
    <t>销轴 24x145x6.3x136</t>
  </si>
  <si>
    <t>FP1241508A</t>
  </si>
  <si>
    <t>销轴 24x150x6.3x141</t>
  </si>
  <si>
    <t>FP1241558A</t>
  </si>
  <si>
    <t>销轴 24x155x6.3x146</t>
  </si>
  <si>
    <t>FP1241608A</t>
  </si>
  <si>
    <t>销轴 24x160x6.3x151</t>
  </si>
  <si>
    <t>FP1241658A</t>
  </si>
  <si>
    <t>销轴 24x165x6.3x156</t>
  </si>
  <si>
    <t>FP1241708A</t>
  </si>
  <si>
    <t>销轴 24x170x6.3x161</t>
  </si>
  <si>
    <t>FP1241758A</t>
  </si>
  <si>
    <t>销轴 24x175x6.3x166</t>
  </si>
  <si>
    <t>大垫圈FW2</t>
  </si>
  <si>
    <t>大垫圈</t>
  </si>
  <si>
    <t>FW2030002A</t>
  </si>
  <si>
    <t>大垫圈 3</t>
  </si>
  <si>
    <t>FW2040002A</t>
  </si>
  <si>
    <t>大垫圈 4</t>
  </si>
  <si>
    <t>FW2050002A</t>
  </si>
  <si>
    <t>大垫圈 5</t>
  </si>
  <si>
    <t>FW2060002A</t>
  </si>
  <si>
    <t>大垫圈 6</t>
  </si>
  <si>
    <t>FW2080002A</t>
  </si>
  <si>
    <t>大垫圈 8</t>
  </si>
  <si>
    <t>机械镀锌，锌层平均厚度≥50um，局部厚度≥41um</t>
  </si>
  <si>
    <t>FW2100002A</t>
  </si>
  <si>
    <t>大垫圈 10</t>
  </si>
  <si>
    <t>机械镀锌，锌层平均厚度≥50um，局部厚度≥42um</t>
  </si>
  <si>
    <t>FW2120002A</t>
  </si>
  <si>
    <t>FW2140002A</t>
  </si>
  <si>
    <t>大垫圈 14</t>
  </si>
  <si>
    <t>FW2160002A</t>
  </si>
  <si>
    <t>FW2180002A</t>
  </si>
  <si>
    <t>大垫圈 18</t>
  </si>
  <si>
    <t>FW2200002A</t>
  </si>
  <si>
    <t>大垫圈 20</t>
  </si>
  <si>
    <t>FW2220002A</t>
  </si>
  <si>
    <t>大垫圈 22</t>
  </si>
  <si>
    <t>FW2240002A</t>
  </si>
  <si>
    <t>大垫圈 24</t>
  </si>
  <si>
    <t>FW20300000</t>
  </si>
  <si>
    <t>GB/T 96.1, A2</t>
  </si>
  <si>
    <t>FW20400000</t>
  </si>
  <si>
    <t>FW20500000</t>
  </si>
  <si>
    <t>FW20600000</t>
  </si>
  <si>
    <t>FW20800000</t>
  </si>
  <si>
    <t>FW21000000</t>
  </si>
  <si>
    <t>FW21200000</t>
  </si>
  <si>
    <t>平垫圈FW1</t>
  </si>
  <si>
    <t>平垫圈</t>
  </si>
  <si>
    <t>FW1030002A</t>
  </si>
  <si>
    <t>平垫圈 3</t>
  </si>
  <si>
    <t>FW1040002A</t>
  </si>
  <si>
    <t>平垫圈 4</t>
  </si>
  <si>
    <t>FW1050002A</t>
  </si>
  <si>
    <t>平垫圈 5</t>
  </si>
  <si>
    <t>FW1060002A</t>
  </si>
  <si>
    <t>平垫圈 6</t>
  </si>
  <si>
    <t>FW1080002A</t>
  </si>
  <si>
    <t>FW1100002A</t>
  </si>
  <si>
    <t>平垫圈 10</t>
  </si>
  <si>
    <t>FW1120002A</t>
  </si>
  <si>
    <t>FW1140002A</t>
  </si>
  <si>
    <t>平垫圈 14</t>
  </si>
  <si>
    <t>FW1160002A</t>
  </si>
  <si>
    <t>FW1180002A</t>
  </si>
  <si>
    <t>平垫圈 18</t>
  </si>
  <si>
    <t>FW1200002A</t>
  </si>
  <si>
    <t>平垫圈 20</t>
  </si>
  <si>
    <t>FW1220002A</t>
  </si>
  <si>
    <t>平垫圈 22</t>
  </si>
  <si>
    <t>FW1240002A</t>
  </si>
  <si>
    <t>平垫圈 24</t>
  </si>
  <si>
    <t>FW10300000</t>
  </si>
  <si>
    <t>GB/T 97.1, A2</t>
  </si>
  <si>
    <t>FW10400000</t>
  </si>
  <si>
    <t>FW10500000</t>
  </si>
  <si>
    <t>FW10600000</t>
  </si>
  <si>
    <t>FW10800000</t>
  </si>
  <si>
    <t>FW11000000</t>
  </si>
  <si>
    <t>FW11200000</t>
  </si>
  <si>
    <t>弹簧垫圈FW3</t>
  </si>
  <si>
    <t>弹簧垫圈</t>
  </si>
  <si>
    <t>FW3030002A</t>
  </si>
  <si>
    <t>弹簧垫圈 3</t>
  </si>
  <si>
    <t>FW3040002A</t>
  </si>
  <si>
    <t>弹簧垫圈 4</t>
  </si>
  <si>
    <t>FW3050002A</t>
  </si>
  <si>
    <t>弹簧垫圈 5</t>
  </si>
  <si>
    <t>FW3060002A</t>
  </si>
  <si>
    <t>弹簧垫圈 6</t>
  </si>
  <si>
    <t>FW3080002A</t>
  </si>
  <si>
    <t>FW3100002A</t>
  </si>
  <si>
    <t>弹簧垫圈 10</t>
  </si>
  <si>
    <t>FW3120002A</t>
  </si>
  <si>
    <t>FW3140002A</t>
  </si>
  <si>
    <t>弹簧垫圈 14</t>
  </si>
  <si>
    <t>FW3160002A</t>
  </si>
  <si>
    <t>FW3180002A</t>
  </si>
  <si>
    <t>弹簧垫圈 18</t>
  </si>
  <si>
    <t>FW3200002A</t>
  </si>
  <si>
    <t>弹簧垫圈 20</t>
  </si>
  <si>
    <t>FW3220002A</t>
  </si>
  <si>
    <t>弹簧垫圈 22</t>
  </si>
  <si>
    <t>FW3240002A</t>
  </si>
  <si>
    <t>弹簧垫圈 24</t>
  </si>
  <si>
    <t>FW30300000</t>
  </si>
  <si>
    <t>GB/T 93, SUS304</t>
  </si>
  <si>
    <t>FW30400000</t>
  </si>
  <si>
    <t>FW30500000</t>
  </si>
  <si>
    <t>FW30600000</t>
  </si>
  <si>
    <t>FW30800000</t>
  </si>
  <si>
    <t>FW31000000</t>
  </si>
  <si>
    <t>FW31200000</t>
  </si>
  <si>
    <t>异行垫圈FW4</t>
  </si>
  <si>
    <t>异行垫圈</t>
  </si>
  <si>
    <t>FW40800000</t>
  </si>
  <si>
    <t>外齿垫片 8</t>
  </si>
  <si>
    <t>GB/T 862.2,A2</t>
  </si>
  <si>
    <t>FW0160002A</t>
  </si>
  <si>
    <t>槽钢用方斜垫圈 16</t>
  </si>
  <si>
    <t>GB/T 853</t>
  </si>
  <si>
    <t>Q235</t>
  </si>
  <si>
    <t>FW70800000</t>
  </si>
  <si>
    <t>小平垫 8</t>
  </si>
  <si>
    <t>GB/T 848,A2</t>
  </si>
  <si>
    <t>FW5100002A</t>
  </si>
  <si>
    <t>轴用弹性挡圈 10</t>
  </si>
  <si>
    <t>GB/T 894.1</t>
  </si>
  <si>
    <t>65Mn</t>
  </si>
  <si>
    <t>U型螺栓FU1</t>
  </si>
  <si>
    <t>U型螺栓FU2</t>
  </si>
  <si>
    <t>U型螺栓</t>
  </si>
  <si>
    <t>FU2161921A</t>
  </si>
  <si>
    <t>U型螺栓 M16</t>
  </si>
  <si>
    <t>M16x158x192, 4.8级</t>
  </si>
  <si>
    <t>4.8及</t>
  </si>
  <si>
    <t>其它 FR</t>
  </si>
  <si>
    <t>橡胶卡箍</t>
  </si>
  <si>
    <t>FR00000100</t>
  </si>
  <si>
    <t>橡胶卡箍 φ6</t>
  </si>
  <si>
    <t>φ6.4x15xφ6</t>
  </si>
  <si>
    <t>SUS304+EPDM</t>
  </si>
  <si>
    <t>FR00000200</t>
  </si>
  <si>
    <t>橡胶卡箍 φ10</t>
  </si>
  <si>
    <t>φ6.4x15xφ10</t>
  </si>
  <si>
    <t>FR00000300</t>
  </si>
  <si>
    <t>橡胶卡箍 φ12</t>
  </si>
  <si>
    <t>φ6.4x15xφ12</t>
  </si>
  <si>
    <t>FR00000400</t>
  </si>
  <si>
    <t>橡胶卡箍 φ15</t>
  </si>
  <si>
    <t>φ6.4x15xφ15</t>
  </si>
  <si>
    <t>FR00000500</t>
  </si>
  <si>
    <t>橡胶卡箍 φ18</t>
  </si>
  <si>
    <t>φ6.4x15xφ18</t>
  </si>
  <si>
    <t>FR00000600</t>
  </si>
  <si>
    <t>橡胶卡箍 φ22</t>
  </si>
  <si>
    <t>φ6.4x15xφ22</t>
  </si>
  <si>
    <r>
      <rPr>
        <sz val="14"/>
        <color theme="1"/>
        <rFont val="宋体"/>
        <family val="3"/>
        <charset val="134"/>
      </rPr>
      <t>序号</t>
    </r>
  </si>
  <si>
    <r>
      <rPr>
        <sz val="14"/>
        <color theme="1"/>
        <rFont val="宋体"/>
        <family val="3"/>
        <charset val="134"/>
      </rPr>
      <t>零件分类</t>
    </r>
  </si>
  <si>
    <r>
      <rPr>
        <sz val="14"/>
        <color theme="1"/>
        <rFont val="宋体"/>
        <family val="3"/>
        <charset val="134"/>
      </rPr>
      <t>成品壁厚偏差</t>
    </r>
  </si>
  <si>
    <r>
      <rPr>
        <sz val="14"/>
        <color theme="1"/>
        <rFont val="宋体"/>
        <family val="3"/>
        <charset val="134"/>
      </rPr>
      <t>名称</t>
    </r>
  </si>
  <si>
    <r>
      <rPr>
        <sz val="14"/>
        <color theme="1"/>
        <rFont val="宋体"/>
        <family val="3"/>
        <charset val="134"/>
      </rPr>
      <t>规格</t>
    </r>
  </si>
  <si>
    <r>
      <rPr>
        <sz val="14"/>
        <color theme="1"/>
        <rFont val="宋体"/>
        <family val="3"/>
        <charset val="134"/>
      </rPr>
      <t>材质</t>
    </r>
  </si>
  <si>
    <r>
      <rPr>
        <sz val="14"/>
        <color theme="1"/>
        <rFont val="宋体"/>
        <family val="3"/>
        <charset val="134"/>
      </rPr>
      <t>单套数量</t>
    </r>
    <r>
      <rPr>
        <sz val="14"/>
        <color theme="1"/>
        <rFont val="Times New Roman"/>
        <family val="1"/>
      </rPr>
      <t xml:space="preserve">2x14    </t>
    </r>
    <phoneticPr fontId="4" type="noConversion"/>
  </si>
  <si>
    <r>
      <rPr>
        <sz val="14"/>
        <color theme="1"/>
        <rFont val="宋体"/>
        <family val="3"/>
        <charset val="134"/>
      </rPr>
      <t>长度</t>
    </r>
    <r>
      <rPr>
        <sz val="14"/>
        <color theme="1"/>
        <rFont val="Times New Roman"/>
        <family val="1"/>
      </rPr>
      <t>(mm)</t>
    </r>
  </si>
  <si>
    <r>
      <rPr>
        <sz val="14"/>
        <color theme="1"/>
        <rFont val="宋体"/>
        <family val="3"/>
        <charset val="134"/>
      </rPr>
      <t>理论米重</t>
    </r>
    <r>
      <rPr>
        <sz val="14"/>
        <color theme="1"/>
        <rFont val="Times New Roman"/>
        <family val="1"/>
      </rPr>
      <t>Kg/m</t>
    </r>
  </si>
  <si>
    <r>
      <rPr>
        <sz val="14"/>
        <color theme="1"/>
        <rFont val="宋体"/>
        <family val="3"/>
        <charset val="134"/>
      </rPr>
      <t>理论单重</t>
    </r>
    <r>
      <rPr>
        <sz val="14"/>
        <color theme="1"/>
        <rFont val="Times New Roman"/>
        <family val="1"/>
      </rPr>
      <t>(kg)</t>
    </r>
  </si>
  <si>
    <r>
      <rPr>
        <sz val="14"/>
        <color theme="1"/>
        <rFont val="宋体"/>
        <family val="3"/>
        <charset val="134"/>
      </rPr>
      <t>理论单套重量</t>
    </r>
    <r>
      <rPr>
        <sz val="14"/>
        <color theme="1"/>
        <rFont val="Times New Roman"/>
        <family val="1"/>
      </rPr>
      <t xml:space="preserve"> kg</t>
    </r>
  </si>
  <si>
    <r>
      <rPr>
        <sz val="14"/>
        <color theme="1"/>
        <rFont val="宋体"/>
        <family val="3"/>
        <charset val="134"/>
      </rPr>
      <t>实际米重</t>
    </r>
    <r>
      <rPr>
        <sz val="14"/>
        <color theme="1"/>
        <rFont val="Times New Roman"/>
        <family val="1"/>
      </rPr>
      <t>Kg/m</t>
    </r>
  </si>
  <si>
    <r>
      <rPr>
        <sz val="14"/>
        <color theme="1"/>
        <rFont val="宋体"/>
        <family val="3"/>
        <charset val="134"/>
      </rPr>
      <t>实际单重</t>
    </r>
    <r>
      <rPr>
        <sz val="14"/>
        <color theme="1"/>
        <rFont val="Times New Roman"/>
        <family val="1"/>
      </rPr>
      <t>kg</t>
    </r>
  </si>
  <si>
    <r>
      <rPr>
        <sz val="14"/>
        <color theme="1"/>
        <rFont val="宋体"/>
        <family val="3"/>
        <charset val="134"/>
      </rPr>
      <t>实际单套重量</t>
    </r>
    <r>
      <rPr>
        <sz val="14"/>
        <color theme="1"/>
        <rFont val="Times New Roman"/>
        <family val="1"/>
      </rPr>
      <t>kg</t>
    </r>
  </si>
  <si>
    <r>
      <rPr>
        <sz val="14"/>
        <color theme="1"/>
        <rFont val="宋体"/>
        <family val="3"/>
        <charset val="134"/>
      </rPr>
      <t>吨价</t>
    </r>
  </si>
  <si>
    <r>
      <rPr>
        <sz val="14"/>
        <color theme="1"/>
        <rFont val="宋体"/>
        <family val="3"/>
        <charset val="134"/>
      </rPr>
      <t>单价</t>
    </r>
  </si>
  <si>
    <r>
      <rPr>
        <sz val="14"/>
        <color theme="1"/>
        <rFont val="宋体"/>
        <family val="3"/>
        <charset val="134"/>
      </rPr>
      <t>总价</t>
    </r>
  </si>
  <si>
    <r>
      <rPr>
        <sz val="14"/>
        <color theme="1"/>
        <rFont val="宋体"/>
        <family val="3"/>
        <charset val="134"/>
      </rPr>
      <t>备注</t>
    </r>
  </si>
  <si>
    <r>
      <rPr>
        <sz val="14"/>
        <color theme="1"/>
        <rFont val="宋体"/>
        <family val="3"/>
        <charset val="134"/>
      </rPr>
      <t>结构件部分</t>
    </r>
    <phoneticPr fontId="4" type="noConversion"/>
  </si>
  <si>
    <r>
      <rPr>
        <sz val="14"/>
        <color theme="1"/>
        <rFont val="宋体"/>
        <family val="3"/>
        <charset val="134"/>
      </rPr>
      <t>生成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理论重量</t>
    </r>
  </si>
  <si>
    <r>
      <rPr>
        <sz val="14"/>
        <color theme="1"/>
        <rFont val="宋体"/>
        <family val="3"/>
        <charset val="134"/>
      </rPr>
      <t>圆管</t>
    </r>
  </si>
  <si>
    <r>
      <rPr>
        <sz val="14"/>
        <color theme="1"/>
        <rFont val="宋体"/>
        <family val="3"/>
        <charset val="134"/>
      </rPr>
      <t>立柱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</si>
  <si>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65um,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55um</t>
    </r>
  </si>
  <si>
    <r>
      <rPr>
        <sz val="14"/>
        <color theme="1"/>
        <rFont val="宋体"/>
        <family val="3"/>
        <charset val="134"/>
      </rPr>
      <t>生成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实际重量</t>
    </r>
  </si>
  <si>
    <r>
      <t>C</t>
    </r>
    <r>
      <rPr>
        <sz val="14"/>
        <color theme="1"/>
        <rFont val="宋体"/>
        <family val="3"/>
        <charset val="134"/>
      </rPr>
      <t>型钢</t>
    </r>
  </si>
  <si>
    <r>
      <rPr>
        <sz val="14"/>
        <color theme="1"/>
        <rFont val="宋体"/>
        <family val="3"/>
        <charset val="134"/>
      </rPr>
      <t>斜梁</t>
    </r>
    <phoneticPr fontId="4" type="noConversion"/>
  </si>
  <si>
    <r>
      <rPr>
        <sz val="14"/>
        <color theme="1"/>
        <rFont val="宋体"/>
        <family val="3"/>
        <charset val="134"/>
      </rPr>
      <t>前斜撑</t>
    </r>
    <phoneticPr fontId="4" type="noConversion"/>
  </si>
  <si>
    <r>
      <rPr>
        <sz val="14"/>
        <color theme="1"/>
        <rFont val="宋体"/>
        <family val="3"/>
        <charset val="134"/>
      </rPr>
      <t>生成带价格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理论重量</t>
    </r>
  </si>
  <si>
    <r>
      <rPr>
        <sz val="14"/>
        <color theme="1"/>
        <rFont val="宋体"/>
        <family val="3"/>
        <charset val="134"/>
      </rPr>
      <t>后斜撑</t>
    </r>
    <phoneticPr fontId="4" type="noConversion"/>
  </si>
  <si>
    <r>
      <rPr>
        <sz val="14"/>
        <color theme="1"/>
        <rFont val="宋体"/>
        <family val="3"/>
        <charset val="134"/>
      </rPr>
      <t>生成带价格</t>
    </r>
    <r>
      <rPr>
        <sz val="14"/>
        <color theme="1"/>
        <rFont val="Times New Roman"/>
        <family val="1"/>
      </rPr>
      <t>BOM-</t>
    </r>
    <r>
      <rPr>
        <sz val="14"/>
        <color theme="1"/>
        <rFont val="宋体"/>
        <family val="3"/>
        <charset val="134"/>
      </rPr>
      <t>实际重量</t>
    </r>
  </si>
  <si>
    <r>
      <rPr>
        <sz val="14"/>
        <color theme="1"/>
        <rFont val="宋体"/>
        <family val="3"/>
        <charset val="134"/>
      </rPr>
      <t>檩条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</si>
  <si>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檩条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</si>
  <si>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拉杆</t>
    </r>
  </si>
  <si>
    <r>
      <rPr>
        <sz val="14"/>
        <color theme="1"/>
        <rFont val="宋体"/>
        <family val="3"/>
        <charset val="134"/>
      </rPr>
      <t>斜梁拉杆</t>
    </r>
    <phoneticPr fontId="4" type="noConversion"/>
  </si>
  <si>
    <r>
      <rPr>
        <sz val="14"/>
        <color theme="1"/>
        <rFont val="宋体"/>
        <family val="3"/>
        <charset val="134"/>
      </rPr>
      <t>异形件</t>
    </r>
  </si>
  <si>
    <r>
      <rPr>
        <sz val="14"/>
        <color theme="1"/>
        <rFont val="宋体"/>
        <family val="3"/>
        <charset val="134"/>
      </rPr>
      <t>拉杆封头</t>
    </r>
    <phoneticPr fontId="4" type="noConversion"/>
  </si>
  <si>
    <r>
      <rPr>
        <sz val="14"/>
        <color theme="1"/>
        <rFont val="宋体"/>
        <family val="3"/>
        <charset val="134"/>
      </rPr>
      <t>角钢</t>
    </r>
  </si>
  <si>
    <r>
      <rPr>
        <sz val="14"/>
        <color theme="1"/>
        <rFont val="宋体"/>
        <family val="3"/>
        <charset val="134"/>
      </rPr>
      <t>檩托</t>
    </r>
    <phoneticPr fontId="4" type="noConversion"/>
  </si>
  <si>
    <r>
      <rPr>
        <sz val="14"/>
        <color theme="1"/>
        <rFont val="宋体"/>
        <family val="3"/>
        <charset val="134"/>
      </rPr>
      <t>∠</t>
    </r>
    <r>
      <rPr>
        <sz val="14"/>
        <color theme="1"/>
        <rFont val="Times New Roman"/>
        <family val="1"/>
      </rPr>
      <t>90x56x6.0-50</t>
    </r>
    <phoneticPr fontId="4" type="noConversion"/>
  </si>
  <si>
    <r>
      <rPr>
        <sz val="14"/>
        <color theme="1"/>
        <rFont val="宋体"/>
        <family val="3"/>
        <charset val="134"/>
      </rPr>
      <t>折弯槽钢</t>
    </r>
  </si>
  <si>
    <r>
      <rPr>
        <sz val="14"/>
        <color theme="1"/>
        <rFont val="宋体"/>
        <family val="3"/>
        <charset val="134"/>
      </rPr>
      <t>檩条连接件</t>
    </r>
    <phoneticPr fontId="4" type="noConversion"/>
  </si>
  <si>
    <r>
      <rPr>
        <sz val="14"/>
        <rFont val="宋体"/>
        <family val="3"/>
        <charset val="134"/>
      </rPr>
      <t>斜拉条</t>
    </r>
    <r>
      <rPr>
        <sz val="14"/>
        <rFont val="Times New Roman"/>
        <family val="1"/>
      </rPr>
      <t>1</t>
    </r>
    <phoneticPr fontId="4" type="noConversion"/>
  </si>
  <si>
    <r>
      <rPr>
        <sz val="14"/>
        <rFont val="宋体"/>
        <family val="3"/>
        <charset val="134"/>
      </rPr>
      <t>斜拉条</t>
    </r>
    <r>
      <rPr>
        <sz val="14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</si>
  <si>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70um,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55um</t>
    </r>
  </si>
  <si>
    <r>
      <rPr>
        <sz val="14"/>
        <color theme="1"/>
        <rFont val="宋体"/>
        <family val="3"/>
        <charset val="134"/>
      </rPr>
      <t>拉条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</si>
  <si>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拉条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</si>
  <si>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撑杆</t>
    </r>
    <phoneticPr fontId="4" type="noConversion"/>
  </si>
  <si>
    <r>
      <rPr>
        <sz val="14"/>
        <color theme="1"/>
        <rFont val="宋体"/>
        <family val="3"/>
        <charset val="134"/>
      </rPr>
      <t>圆柱抱箍</t>
    </r>
  </si>
  <si>
    <r>
      <rPr>
        <sz val="14"/>
        <color theme="1"/>
        <rFont val="宋体"/>
        <family val="3"/>
        <charset val="134"/>
      </rPr>
      <t>斜撑抱箍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</si>
  <si>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斜撑抱箍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</si>
  <si>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铰连接件</t>
    </r>
    <phoneticPr fontId="4" type="noConversion"/>
  </si>
  <si>
    <r>
      <rPr>
        <sz val="14"/>
        <color theme="1"/>
        <rFont val="宋体"/>
        <family val="3"/>
        <charset val="134"/>
      </rPr>
      <t>立柱拉杆</t>
    </r>
    <phoneticPr fontId="4" type="noConversion"/>
  </si>
  <si>
    <r>
      <rPr>
        <sz val="14"/>
        <color theme="1"/>
        <rFont val="宋体"/>
        <family val="3"/>
        <charset val="134"/>
      </rPr>
      <t>折弯角钢</t>
    </r>
  </si>
  <si>
    <r>
      <rPr>
        <sz val="14"/>
        <color theme="1"/>
        <rFont val="宋体"/>
        <family val="3"/>
        <charset val="134"/>
      </rPr>
      <t>立柱拉杆连接件</t>
    </r>
    <phoneticPr fontId="4" type="noConversion"/>
  </si>
  <si>
    <r>
      <rPr>
        <sz val="14"/>
        <color theme="1"/>
        <rFont val="宋体"/>
        <family val="3"/>
        <charset val="134"/>
      </rPr>
      <t>热镀锌平均厚度</t>
    </r>
    <r>
      <rPr>
        <sz val="14"/>
        <color theme="1"/>
        <rFont val="Times New Roman"/>
        <family val="1"/>
      </rPr>
      <t xml:space="preserve">55um,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</si>
  <si>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立柱拉杆抱箍</t>
    </r>
    <r>
      <rPr>
        <sz val="14"/>
        <color theme="1"/>
        <rFont val="Times New Roman"/>
        <family val="1"/>
      </rPr>
      <t>1</t>
    </r>
    <phoneticPr fontId="4" type="noConversion"/>
  </si>
  <si>
    <r>
      <rPr>
        <sz val="14"/>
        <color theme="1"/>
        <rFont val="宋体"/>
        <family val="3"/>
        <charset val="134"/>
      </rPr>
      <t>立柱拉杆抱箍</t>
    </r>
    <r>
      <rPr>
        <sz val="14"/>
        <color theme="1"/>
        <rFont val="Times New Roman"/>
        <family val="1"/>
      </rPr>
      <t>2</t>
    </r>
    <phoneticPr fontId="4" type="noConversion"/>
  </si>
  <si>
    <r>
      <rPr>
        <sz val="14"/>
        <color theme="1"/>
        <rFont val="宋体"/>
        <family val="3"/>
        <charset val="134"/>
      </rPr>
      <t>平板</t>
    </r>
  </si>
  <si>
    <r>
      <rPr>
        <sz val="14"/>
        <color theme="1"/>
        <rFont val="宋体"/>
        <family val="3"/>
        <charset val="134"/>
      </rPr>
      <t>组件垫板</t>
    </r>
    <phoneticPr fontId="4" type="noConversion"/>
  </si>
  <si>
    <r>
      <rPr>
        <sz val="14"/>
        <color theme="1"/>
        <rFont val="宋体"/>
        <family val="3"/>
        <charset val="134"/>
      </rPr>
      <t>矩形抱箍</t>
    </r>
  </si>
  <si>
    <r>
      <rPr>
        <sz val="14"/>
        <color theme="1"/>
        <rFont val="宋体"/>
        <family val="3"/>
        <charset val="134"/>
      </rPr>
      <t>槽钢</t>
    </r>
  </si>
  <si>
    <r>
      <rPr>
        <sz val="14"/>
        <color theme="1"/>
        <rFont val="宋体"/>
        <family val="3"/>
        <charset val="134"/>
      </rPr>
      <t>紧固件部分</t>
    </r>
    <phoneticPr fontId="4" type="noConversion"/>
  </si>
  <si>
    <r>
      <rPr>
        <sz val="14"/>
        <color theme="1"/>
        <rFont val="宋体"/>
        <family val="3"/>
        <charset val="134"/>
      </rPr>
      <t>紧固件</t>
    </r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</si>
  <si>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M16x155</t>
    </r>
    <phoneticPr fontId="5" type="noConversion"/>
  </si>
  <si>
    <r>
      <t>GB/T 5782, 8.8</t>
    </r>
    <r>
      <rPr>
        <sz val="14"/>
        <color theme="1"/>
        <rFont val="宋体"/>
        <family val="3"/>
        <charset val="134"/>
      </rPr>
      <t>级</t>
    </r>
  </si>
  <si>
    <r>
      <rPr>
        <sz val="14"/>
        <color theme="1"/>
        <rFont val="宋体"/>
        <family val="3"/>
        <charset val="134"/>
      </rPr>
      <t>立柱与铰连接件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</si>
  <si>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16</t>
    </r>
    <phoneticPr fontId="5" type="noConversion"/>
  </si>
  <si>
    <r>
      <rPr>
        <sz val="14"/>
        <color theme="1"/>
        <rFont val="宋体"/>
        <family val="3"/>
        <charset val="134"/>
      </rPr>
      <t>机械镀锌平均厚度</t>
    </r>
    <r>
      <rPr>
        <sz val="14"/>
        <color theme="1"/>
        <rFont val="Times New Roman"/>
        <family val="1"/>
      </rPr>
      <t xml:space="preserve">55, </t>
    </r>
    <r>
      <rPr>
        <sz val="14"/>
        <color theme="1"/>
        <rFont val="宋体"/>
        <family val="3"/>
        <charset val="134"/>
      </rPr>
      <t>最小厚度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</si>
  <si>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16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</si>
  <si>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M16</t>
    </r>
    <phoneticPr fontId="5" type="noConversion"/>
  </si>
  <si>
    <r>
      <t>GB/T 6170, 8</t>
    </r>
    <r>
      <rPr>
        <sz val="14"/>
        <color theme="1"/>
        <rFont val="宋体"/>
        <family val="3"/>
        <charset val="134"/>
      </rPr>
      <t>级</t>
    </r>
    <phoneticPr fontId="5" type="noConversion"/>
  </si>
  <si>
    <r>
      <rPr>
        <sz val="14"/>
        <color theme="1"/>
        <rFont val="宋体"/>
        <family val="3"/>
        <charset val="134"/>
      </rPr>
      <t>热镀锌，锌层平均厚度≥</t>
    </r>
    <r>
      <rPr>
        <sz val="14"/>
        <color theme="1"/>
        <rFont val="Times New Roman"/>
        <family val="1"/>
      </rPr>
      <t>55um</t>
    </r>
    <r>
      <rPr>
        <sz val="14"/>
        <color theme="1"/>
        <rFont val="宋体"/>
        <family val="3"/>
        <charset val="134"/>
      </rPr>
      <t>，局部厚度≥</t>
    </r>
    <r>
      <rPr>
        <sz val="14"/>
        <color theme="1"/>
        <rFont val="Times New Roman"/>
        <family val="1"/>
      </rPr>
      <t>45um</t>
    </r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</si>
  <si>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M14x65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</si>
  <si>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  <phoneticPr fontId="4" type="noConversion"/>
  </si>
  <si>
    <r>
      <rPr>
        <sz val="14"/>
        <color theme="1"/>
        <rFont val="宋体"/>
        <family val="3"/>
        <charset val="134"/>
      </rPr>
      <t>斜撑抱箍锁紧，斜撑与斜梁、斜撑抱箍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</si>
  <si>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14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</si>
  <si>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14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</si>
  <si>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M14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</si>
  <si>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M12x60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</si>
  <si>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  <phoneticPr fontId="5" type="noConversion"/>
  </si>
  <si>
    <r>
      <rPr>
        <sz val="14"/>
        <color theme="1"/>
        <rFont val="宋体"/>
        <family val="3"/>
        <charset val="134"/>
      </rPr>
      <t>立柱拉杆抱箍锁紧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</si>
  <si>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12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</si>
  <si>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12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</si>
  <si>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M12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</si>
  <si>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M12x35</t>
    </r>
    <phoneticPr fontId="5" type="noConversion"/>
  </si>
  <si>
    <r>
      <rPr>
        <sz val="14"/>
        <color theme="1"/>
        <rFont val="宋体"/>
        <family val="3"/>
        <charset val="134"/>
      </rPr>
      <t>铰连接件与斜梁，立柱拉杆抱箍与立柱拉杆</t>
    </r>
    <phoneticPr fontId="4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</si>
  <si>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M10x30</t>
    </r>
    <phoneticPr fontId="5" type="noConversion"/>
  </si>
  <si>
    <r>
      <t>GB/T 5783, 8.8</t>
    </r>
    <r>
      <rPr>
        <sz val="14"/>
        <color theme="1"/>
        <rFont val="宋体"/>
        <family val="3"/>
        <charset val="134"/>
      </rPr>
      <t>级</t>
    </r>
  </si>
  <si>
    <r>
      <rPr>
        <sz val="14"/>
        <color theme="1"/>
        <rFont val="宋体"/>
        <family val="3"/>
        <charset val="134"/>
      </rPr>
      <t>檩条连接件，檩托与斜梁、檩条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</si>
  <si>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10</t>
    </r>
    <phoneticPr fontId="5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</si>
  <si>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10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</si>
  <si>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M10</t>
    </r>
    <phoneticPr fontId="5" type="noConversion"/>
  </si>
  <si>
    <r>
      <rPr>
        <sz val="14"/>
        <color theme="1"/>
        <rFont val="宋体"/>
        <family val="3"/>
        <charset val="134"/>
      </rPr>
      <t>外六角螺栓</t>
    </r>
    <r>
      <rPr>
        <sz val="14"/>
        <color theme="1"/>
        <rFont val="Times New Roman"/>
        <family val="1"/>
      </rPr>
      <t xml:space="preserve"> M8x25</t>
    </r>
    <phoneticPr fontId="4" type="noConversion"/>
  </si>
  <si>
    <r>
      <rPr>
        <sz val="14"/>
        <color theme="1"/>
        <rFont val="宋体"/>
        <family val="3"/>
        <charset val="134"/>
      </rPr>
      <t>组件安装</t>
    </r>
    <phoneticPr fontId="4" type="noConversion"/>
  </si>
  <si>
    <r>
      <rPr>
        <sz val="14"/>
        <color theme="1"/>
        <rFont val="宋体"/>
        <family val="3"/>
        <charset val="134"/>
      </rPr>
      <t>大垫圈</t>
    </r>
    <r>
      <rPr>
        <sz val="14"/>
        <color theme="1"/>
        <rFont val="Times New Roman"/>
        <family val="1"/>
      </rPr>
      <t xml:space="preserve"> 8</t>
    </r>
    <phoneticPr fontId="4" type="noConversion"/>
  </si>
  <si>
    <r>
      <rPr>
        <sz val="14"/>
        <color theme="1"/>
        <rFont val="宋体"/>
        <family val="3"/>
        <charset val="134"/>
      </rPr>
      <t>弹簧垫圈</t>
    </r>
    <r>
      <rPr>
        <sz val="14"/>
        <color theme="1"/>
        <rFont val="Times New Roman"/>
        <family val="1"/>
      </rPr>
      <t xml:space="preserve"> 8</t>
    </r>
    <phoneticPr fontId="5" type="noConversion"/>
  </si>
  <si>
    <r>
      <rPr>
        <sz val="14"/>
        <color theme="1"/>
        <rFont val="宋体"/>
        <family val="3"/>
        <charset val="134"/>
      </rPr>
      <t>六角螺母</t>
    </r>
    <r>
      <rPr>
        <sz val="14"/>
        <color theme="1"/>
        <rFont val="Times New Roman"/>
        <family val="1"/>
      </rPr>
      <t xml:space="preserve"> M8</t>
    </r>
    <phoneticPr fontId="5" type="noConversion"/>
  </si>
  <si>
    <r>
      <t>M8</t>
    </r>
    <r>
      <rPr>
        <sz val="14"/>
        <color theme="1"/>
        <rFont val="宋体"/>
        <family val="3"/>
        <charset val="134"/>
      </rPr>
      <t>拉杆连接</t>
    </r>
    <phoneticPr fontId="4" type="noConversion"/>
  </si>
  <si>
    <r>
      <rPr>
        <sz val="14"/>
        <color theme="1"/>
        <rFont val="宋体"/>
        <family val="3"/>
        <charset val="134"/>
      </rPr>
      <t>机械镀锌，锌层平均厚度≥</t>
    </r>
    <r>
      <rPr>
        <sz val="14"/>
        <color theme="1"/>
        <rFont val="Times New Roman"/>
        <family val="1"/>
      </rPr>
      <t>55um</t>
    </r>
    <r>
      <rPr>
        <sz val="14"/>
        <color theme="1"/>
        <rFont val="宋体"/>
        <family val="3"/>
        <charset val="134"/>
      </rPr>
      <t>，局部厚度≥</t>
    </r>
    <r>
      <rPr>
        <sz val="14"/>
        <color theme="1"/>
        <rFont val="Times New Roman"/>
        <family val="1"/>
      </rPr>
      <t>45um</t>
    </r>
  </si>
  <si>
    <r>
      <t>GB/T 6170, 8</t>
    </r>
    <r>
      <rPr>
        <sz val="14"/>
        <color theme="1"/>
        <rFont val="宋体"/>
        <family val="3"/>
        <charset val="134"/>
      </rPr>
      <t>级</t>
    </r>
    <phoneticPr fontId="4" type="noConversion"/>
  </si>
  <si>
    <r>
      <rPr>
        <sz val="14"/>
        <color theme="1"/>
        <rFont val="宋体"/>
        <family val="3"/>
        <charset val="134"/>
      </rPr>
      <t>理论值</t>
    </r>
  </si>
  <si>
    <r>
      <rPr>
        <sz val="14"/>
        <color theme="1"/>
        <rFont val="宋体"/>
        <family val="3"/>
        <charset val="134"/>
      </rPr>
      <t>实际值</t>
    </r>
  </si>
  <si>
    <r>
      <rPr>
        <sz val="14"/>
        <color theme="1"/>
        <rFont val="宋体"/>
        <family val="3"/>
        <charset val="134"/>
      </rPr>
      <t>排列</t>
    </r>
    <phoneticPr fontId="4" type="noConversion"/>
  </si>
  <si>
    <r>
      <rPr>
        <sz val="14"/>
        <color theme="1"/>
        <rFont val="宋体"/>
        <family val="3"/>
        <charset val="134"/>
      </rPr>
      <t>单套功率</t>
    </r>
    <phoneticPr fontId="4" type="noConversion"/>
  </si>
  <si>
    <r>
      <rPr>
        <sz val="14"/>
        <color theme="1"/>
        <rFont val="宋体"/>
        <family val="3"/>
        <charset val="134"/>
      </rPr>
      <t>单套总重</t>
    </r>
    <phoneticPr fontId="4" type="noConversion"/>
  </si>
  <si>
    <r>
      <rPr>
        <sz val="14"/>
        <color theme="1"/>
        <rFont val="宋体"/>
        <family val="3"/>
        <charset val="134"/>
      </rPr>
      <t>组件功率</t>
    </r>
    <phoneticPr fontId="4" type="noConversion"/>
  </si>
  <si>
    <r>
      <t>MW</t>
    </r>
    <r>
      <rPr>
        <sz val="14"/>
        <color theme="1"/>
        <rFont val="宋体"/>
        <family val="3"/>
        <charset val="134"/>
      </rPr>
      <t>吨重</t>
    </r>
    <phoneticPr fontId="4" type="noConversion"/>
  </si>
  <si>
    <r>
      <rPr>
        <sz val="14"/>
        <color theme="1"/>
        <rFont val="宋体"/>
        <family val="3"/>
        <charset val="134"/>
      </rPr>
      <t>总价格</t>
    </r>
  </si>
  <si>
    <r>
      <rPr>
        <sz val="14"/>
        <color theme="1"/>
        <rFont val="宋体"/>
        <family val="3"/>
        <charset val="134"/>
      </rPr>
      <t>元</t>
    </r>
  </si>
  <si>
    <r>
      <t>W</t>
    </r>
    <r>
      <rPr>
        <sz val="14"/>
        <color theme="1"/>
        <rFont val="宋体"/>
        <family val="3"/>
        <charset val="134"/>
      </rPr>
      <t>价</t>
    </r>
  </si>
  <si>
    <r>
      <rPr>
        <sz val="14"/>
        <color theme="1"/>
        <rFont val="宋体"/>
        <family val="3"/>
        <charset val="134"/>
      </rPr>
      <t>元</t>
    </r>
    <r>
      <rPr>
        <sz val="14"/>
        <color theme="1"/>
        <rFont val="Times New Roman"/>
        <family val="1"/>
      </rPr>
      <t>/W</t>
    </r>
  </si>
  <si>
    <t>150x40x2.5+C80x50x15x2.0-3950</t>
    <phoneticPr fontId="4" type="noConversion"/>
  </si>
  <si>
    <r>
      <rPr>
        <b/>
        <sz val="11"/>
        <color theme="1"/>
        <rFont val="宋体"/>
        <family val="3"/>
        <charset val="134"/>
      </rPr>
      <t>表面处理</t>
    </r>
  </si>
  <si>
    <r>
      <rPr>
        <b/>
        <sz val="11"/>
        <color theme="1"/>
        <rFont val="宋体"/>
        <family val="3"/>
        <charset val="134"/>
      </rPr>
      <t>公差</t>
    </r>
  </si>
  <si>
    <r>
      <rPr>
        <sz val="11"/>
        <color theme="1"/>
        <rFont val="宋体"/>
        <family val="3"/>
        <charset val="134"/>
      </rPr>
      <t>圆管</t>
    </r>
  </si>
  <si>
    <r>
      <rPr>
        <sz val="11"/>
        <color theme="1"/>
        <rFont val="宋体"/>
        <family val="3"/>
        <charset val="134"/>
      </rPr>
      <t>矩形管</t>
    </r>
  </si>
  <si>
    <r>
      <t>C</t>
    </r>
    <r>
      <rPr>
        <sz val="11"/>
        <color theme="1"/>
        <rFont val="宋体"/>
        <family val="3"/>
        <charset val="134"/>
      </rPr>
      <t>型钢</t>
    </r>
  </si>
  <si>
    <r>
      <t>U</t>
    </r>
    <r>
      <rPr>
        <sz val="11"/>
        <color theme="1"/>
        <rFont val="宋体"/>
        <family val="3"/>
        <charset val="134"/>
      </rPr>
      <t>型钢</t>
    </r>
  </si>
  <si>
    <r>
      <rPr>
        <sz val="11"/>
        <color theme="1"/>
        <rFont val="宋体"/>
        <family val="3"/>
        <charset val="134"/>
      </rPr>
      <t>几字形钢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</si>
  <si>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55um,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45um</t>
    </r>
  </si>
  <si>
    <r>
      <rPr>
        <sz val="11"/>
        <color theme="1"/>
        <rFont val="宋体"/>
        <family val="3"/>
        <charset val="134"/>
      </rPr>
      <t>折弯角钢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</si>
  <si>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65um,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55um</t>
    </r>
  </si>
  <si>
    <r>
      <rPr>
        <sz val="11"/>
        <color theme="1"/>
        <rFont val="宋体"/>
        <family val="3"/>
        <charset val="134"/>
      </rPr>
      <t>折弯槽钢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</si>
  <si>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70um,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55um</t>
    </r>
  </si>
  <si>
    <r>
      <rPr>
        <sz val="11"/>
        <color theme="1"/>
        <rFont val="宋体"/>
        <family val="3"/>
        <charset val="134"/>
      </rPr>
      <t>圆管抱箍</t>
    </r>
  </si>
  <si>
    <r>
      <rPr>
        <sz val="11"/>
        <color theme="1"/>
        <rFont val="宋体"/>
        <family val="3"/>
        <charset val="134"/>
      </rPr>
      <t>矩形管抱箍</t>
    </r>
  </si>
  <si>
    <r>
      <rPr>
        <sz val="11"/>
        <color theme="1"/>
        <rFont val="宋体"/>
        <family val="3"/>
        <charset val="134"/>
      </rPr>
      <t>热镀锌平均厚度</t>
    </r>
    <r>
      <rPr>
        <sz val="11"/>
        <color theme="1"/>
        <rFont val="Times New Roman"/>
        <family val="1"/>
      </rPr>
      <t xml:space="preserve">85um,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70um</t>
    </r>
  </si>
  <si>
    <r>
      <rPr>
        <sz val="11"/>
        <color theme="1"/>
        <rFont val="宋体"/>
        <family val="3"/>
        <charset val="134"/>
      </rPr>
      <t>角钢</t>
    </r>
  </si>
  <si>
    <r>
      <rPr>
        <sz val="11"/>
        <color theme="1"/>
        <rFont val="宋体"/>
        <family val="3"/>
        <charset val="134"/>
      </rPr>
      <t>机械镀锌平均厚度</t>
    </r>
    <r>
      <rPr>
        <sz val="11"/>
        <color theme="1"/>
        <rFont val="Times New Roman"/>
        <family val="1"/>
      </rPr>
      <t xml:space="preserve">55, </t>
    </r>
    <r>
      <rPr>
        <sz val="11"/>
        <color theme="1"/>
        <rFont val="宋体"/>
        <family val="3"/>
        <charset val="134"/>
      </rPr>
      <t>最小厚度</t>
    </r>
    <r>
      <rPr>
        <sz val="11"/>
        <color theme="1"/>
        <rFont val="Times New Roman"/>
        <family val="1"/>
      </rPr>
      <t>45um</t>
    </r>
  </si>
  <si>
    <r>
      <rPr>
        <sz val="11"/>
        <color theme="1"/>
        <rFont val="宋体"/>
        <family val="3"/>
        <charset val="134"/>
      </rPr>
      <t>热轧槽钢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</si>
  <si>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275g</t>
    </r>
  </si>
  <si>
    <r>
      <rPr>
        <sz val="11"/>
        <color theme="1"/>
        <rFont val="宋体"/>
        <family val="3"/>
        <charset val="134"/>
      </rPr>
      <t>热轧</t>
    </r>
    <r>
      <rPr>
        <sz val="11"/>
        <color theme="1"/>
        <rFont val="Times New Roman"/>
        <family val="1"/>
      </rPr>
      <t>H</t>
    </r>
    <r>
      <rPr>
        <sz val="11"/>
        <color theme="1"/>
        <rFont val="宋体"/>
        <family val="3"/>
        <charset val="134"/>
      </rPr>
      <t>型钢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</si>
  <si>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310g</t>
    </r>
  </si>
  <si>
    <r>
      <rPr>
        <sz val="11"/>
        <color theme="1"/>
        <rFont val="宋体"/>
        <family val="3"/>
        <charset val="134"/>
      </rPr>
      <t>平板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</si>
  <si>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350g</t>
    </r>
  </si>
  <si>
    <r>
      <rPr>
        <sz val="11"/>
        <color theme="1"/>
        <rFont val="宋体"/>
        <family val="3"/>
        <charset val="134"/>
      </rPr>
      <t>三角形</t>
    </r>
  </si>
  <si>
    <r>
      <rPr>
        <sz val="11"/>
        <color theme="1"/>
        <rFont val="宋体"/>
        <family val="3"/>
        <charset val="134"/>
      </rPr>
      <t>镀锌铝镁</t>
    </r>
    <r>
      <rPr>
        <sz val="11"/>
        <color theme="1"/>
        <rFont val="Times New Roman"/>
        <family val="1"/>
      </rPr>
      <t>400g</t>
    </r>
  </si>
  <si>
    <r>
      <rPr>
        <sz val="11"/>
        <color theme="1"/>
        <rFont val="宋体"/>
        <family val="3"/>
        <charset val="134"/>
      </rPr>
      <t>拉杆</t>
    </r>
  </si>
  <si>
    <r>
      <rPr>
        <sz val="11"/>
        <color theme="1"/>
        <rFont val="宋体"/>
        <family val="3"/>
        <charset val="134"/>
      </rPr>
      <t>梯形件</t>
    </r>
  </si>
  <si>
    <r>
      <rPr>
        <sz val="11"/>
        <color theme="1"/>
        <rFont val="宋体"/>
        <family val="3"/>
        <charset val="134"/>
      </rPr>
      <t>异形件</t>
    </r>
  </si>
  <si>
    <r>
      <rPr>
        <sz val="11"/>
        <color theme="1"/>
        <rFont val="宋体"/>
        <family val="3"/>
        <charset val="134"/>
      </rPr>
      <t>紧固件</t>
    </r>
  </si>
  <si>
    <t>结构件类型</t>
  </si>
  <si>
    <t>·</t>
    <phoneticPr fontId="4" type="noConversion"/>
  </si>
  <si>
    <t>2x14-内围</t>
  </si>
  <si>
    <t>2x14-内围</t>
    <phoneticPr fontId="4" type="noConversion"/>
  </si>
  <si>
    <t>截面规格</t>
  </si>
  <si>
    <t>结构件信息</t>
  </si>
  <si>
    <t>截面类型</t>
  </si>
  <si>
    <t>截面材质</t>
  </si>
  <si>
    <t>长度(mm)</t>
  </si>
  <si>
    <t>成品壁厚公差(mm)</t>
  </si>
  <si>
    <t>单套数量</t>
  </si>
  <si>
    <t>操作</t>
  </si>
  <si>
    <t>当前排列名称</t>
    <phoneticPr fontId="4" type="noConversion"/>
  </si>
  <si>
    <t>零件类型</t>
    <phoneticPr fontId="4" type="noConversion"/>
  </si>
  <si>
    <t>立柱截面类型</t>
    <phoneticPr fontId="4" type="noConversion"/>
  </si>
  <si>
    <t>斜梁截面类型</t>
    <phoneticPr fontId="4" type="noConversion"/>
  </si>
  <si>
    <t>斜撑截面类型</t>
    <phoneticPr fontId="4" type="noConversion"/>
  </si>
  <si>
    <t>檩条截面类型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</si>
</sst>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$-409]#,##0.00"/>
    <numFmt numFmtId="177" formatCode="0.000_ "/>
    <numFmt numFmtId="178" formatCode="0.000"/>
    <numFmt numFmtId="179" formatCode="0.0000"/>
    <numFmt numFmtId="180" formatCode="0.00_ "/>
  </numFmts>
  <fonts count="27">
    <font>
      <sz val="11"/>
      <color theme="1"/>
      <name val="等线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b/>
      <sz val="10"/>
      <name val="等线 Light"/>
      <family val="3"/>
      <charset val="134"/>
    </font>
    <font>
      <sz val="10"/>
      <name val="等线"/>
      <family val="3"/>
      <charset val="134"/>
    </font>
    <font>
      <sz val="10"/>
      <name val="等线 Light"/>
      <family val="3"/>
      <charset val="134"/>
    </font>
    <font>
      <sz val="12"/>
      <color rgb="FF000000"/>
      <name val="等线 Light"/>
      <family val="3"/>
      <charset val="134"/>
    </font>
    <font>
      <sz val="10"/>
      <color rgb="FF000000"/>
      <name val="等线 Light"/>
      <family val="3"/>
      <charset val="134"/>
    </font>
    <font>
      <sz val="10"/>
      <color rgb="FF000000"/>
      <name val="等线"/>
      <family val="3"/>
      <charset val="134"/>
    </font>
    <font>
      <sz val="12"/>
      <color rgb="FFFF0000"/>
      <name val="等线 Light"/>
      <family val="3"/>
      <charset val="134"/>
    </font>
    <font>
      <sz val="10"/>
      <color rgb="FFFF0000"/>
      <name val="等线 Light"/>
      <family val="3"/>
      <charset val="134"/>
    </font>
    <font>
      <sz val="10"/>
      <name val="仿宋, monospace&quot;, monospace"/>
      <family val="3"/>
      <charset val="134"/>
    </font>
    <font>
      <sz val="14"/>
      <color theme="1"/>
      <name val="宋体"/>
      <family val="3"/>
      <charset val="134"/>
    </font>
    <font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等线"/>
      <family val="3"/>
      <charset val="134"/>
    </font>
    <font>
      <sz val="11"/>
      <color theme="1"/>
      <name val="宋体"/>
      <family val="1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176" fontId="3" fillId="0" borderId="0"/>
    <xf numFmtId="176" fontId="3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</cellStyleXfs>
  <cellXfs count="113">
    <xf numFmtId="0" fontId="0" fillId="0" borderId="0" xfId="0">
      <alignment vertical="center"/>
    </xf>
    <xf numFmtId="0" fontId="3" fillId="0" borderId="0" xfId="0" applyFont="1">
      <alignment vertical="center"/>
    </xf>
    <xf numFmtId="0" fontId="7" fillId="7" borderId="24" xfId="8" applyFont="1" applyFill="1" applyBorder="1" applyAlignment="1">
      <alignment horizontal="center" vertical="center"/>
    </xf>
    <xf numFmtId="0" fontId="8" fillId="0" borderId="0" xfId="8" applyFont="1">
      <alignment vertical="center"/>
    </xf>
    <xf numFmtId="0" fontId="8" fillId="0" borderId="0" xfId="8" applyFont="1" applyAlignment="1">
      <alignment horizontal="center" vertical="center"/>
    </xf>
    <xf numFmtId="0" fontId="7" fillId="7" borderId="25" xfId="8" applyFont="1" applyFill="1" applyBorder="1" applyAlignment="1">
      <alignment horizontal="center" vertical="center"/>
    </xf>
    <xf numFmtId="0" fontId="9" fillId="7" borderId="25" xfId="8" applyFont="1" applyFill="1" applyBorder="1" applyAlignment="1">
      <alignment horizontal="center" vertical="center"/>
    </xf>
    <xf numFmtId="0" fontId="9" fillId="7" borderId="25" xfId="8" applyFont="1" applyFill="1" applyBorder="1">
      <alignment vertical="center"/>
    </xf>
    <xf numFmtId="0" fontId="9" fillId="7" borderId="0" xfId="8" applyFont="1" applyFill="1" applyAlignment="1">
      <alignment horizontal="center" vertical="center"/>
    </xf>
    <xf numFmtId="0" fontId="10" fillId="7" borderId="0" xfId="8" applyFont="1" applyFill="1" applyAlignment="1">
      <alignment horizontal="center" vertical="center"/>
    </xf>
    <xf numFmtId="0" fontId="9" fillId="7" borderId="26" xfId="8" applyFont="1" applyFill="1" applyBorder="1" applyAlignment="1">
      <alignment horizontal="left" vertical="center"/>
    </xf>
    <xf numFmtId="0" fontId="7" fillId="7" borderId="27" xfId="8" applyFont="1" applyFill="1" applyBorder="1" applyAlignment="1">
      <alignment horizontal="left" vertical="center"/>
    </xf>
    <xf numFmtId="0" fontId="7" fillId="7" borderId="27" xfId="8" applyFont="1" applyFill="1" applyBorder="1" applyAlignment="1">
      <alignment horizontal="center" vertical="center"/>
    </xf>
    <xf numFmtId="0" fontId="9" fillId="7" borderId="27" xfId="8" applyFont="1" applyFill="1" applyBorder="1" applyAlignment="1">
      <alignment horizontal="left" vertical="center"/>
    </xf>
    <xf numFmtId="0" fontId="9" fillId="7" borderId="0" xfId="8" applyFont="1" applyFill="1" applyAlignment="1">
      <alignment horizontal="left" vertical="center"/>
    </xf>
    <xf numFmtId="0" fontId="6" fillId="0" borderId="0" xfId="8">
      <alignment vertical="center"/>
    </xf>
    <xf numFmtId="179" fontId="9" fillId="7" borderId="27" xfId="8" applyNumberFormat="1" applyFont="1" applyFill="1" applyBorder="1" applyAlignment="1">
      <alignment horizontal="center" vertical="center"/>
    </xf>
    <xf numFmtId="0" fontId="10" fillId="7" borderId="0" xfId="8" applyFont="1" applyFill="1" applyAlignment="1">
      <alignment horizontal="left" vertical="center"/>
    </xf>
    <xf numFmtId="0" fontId="11" fillId="0" borderId="26" xfId="8" applyFont="1" applyBorder="1" applyAlignment="1">
      <alignment horizontal="left" vertical="center"/>
    </xf>
    <xf numFmtId="0" fontId="11" fillId="0" borderId="27" xfId="8" applyFont="1" applyBorder="1" applyAlignment="1">
      <alignment horizontal="left" vertical="center"/>
    </xf>
    <xf numFmtId="179" fontId="11" fillId="0" borderId="27" xfId="8" applyNumberFormat="1" applyFont="1" applyBorder="1" applyAlignment="1">
      <alignment horizontal="center" vertical="center"/>
    </xf>
    <xf numFmtId="0" fontId="11" fillId="0" borderId="0" xfId="8" applyFont="1" applyAlignment="1">
      <alignment horizontal="left" vertical="center"/>
    </xf>
    <xf numFmtId="0" fontId="12" fillId="0" borderId="0" xfId="8" applyFont="1">
      <alignment vertical="center"/>
    </xf>
    <xf numFmtId="0" fontId="9" fillId="0" borderId="26" xfId="8" applyFont="1" applyBorder="1" applyAlignment="1">
      <alignment horizontal="left" vertical="center"/>
    </xf>
    <xf numFmtId="0" fontId="9" fillId="0" borderId="27" xfId="8" applyFont="1" applyBorder="1" applyAlignment="1">
      <alignment horizontal="left" vertical="center"/>
    </xf>
    <xf numFmtId="179" fontId="9" fillId="0" borderId="27" xfId="8" applyNumberFormat="1" applyFont="1" applyBorder="1" applyAlignment="1">
      <alignment horizontal="center" vertical="center"/>
    </xf>
    <xf numFmtId="0" fontId="9" fillId="0" borderId="0" xfId="8" applyFont="1" applyAlignment="1">
      <alignment horizontal="left" vertical="center"/>
    </xf>
    <xf numFmtId="0" fontId="9" fillId="7" borderId="28" xfId="8" applyFont="1" applyFill="1" applyBorder="1" applyAlignment="1">
      <alignment horizontal="left" vertical="center"/>
    </xf>
    <xf numFmtId="0" fontId="9" fillId="7" borderId="29" xfId="8" applyFont="1" applyFill="1" applyBorder="1" applyAlignment="1">
      <alignment horizontal="left" vertical="center"/>
    </xf>
    <xf numFmtId="179" fontId="9" fillId="7" borderId="29" xfId="8" applyNumberFormat="1" applyFont="1" applyFill="1" applyBorder="1" applyAlignment="1">
      <alignment horizontal="center" vertical="center"/>
    </xf>
    <xf numFmtId="0" fontId="9" fillId="7" borderId="24" xfId="8" applyFont="1" applyFill="1" applyBorder="1" applyAlignment="1">
      <alignment horizontal="left" vertical="center"/>
    </xf>
    <xf numFmtId="179" fontId="9" fillId="7" borderId="24" xfId="8" applyNumberFormat="1" applyFont="1" applyFill="1" applyBorder="1" applyAlignment="1">
      <alignment horizontal="center" vertical="center"/>
    </xf>
    <xf numFmtId="0" fontId="8" fillId="0" borderId="27" xfId="8" applyFont="1" applyBorder="1">
      <alignment vertical="center"/>
    </xf>
    <xf numFmtId="0" fontId="8" fillId="0" borderId="27" xfId="8" applyFont="1" applyBorder="1" applyAlignment="1">
      <alignment horizontal="center" vertical="center"/>
    </xf>
    <xf numFmtId="179" fontId="9" fillId="7" borderId="27" xfId="8" applyNumberFormat="1" applyFont="1" applyFill="1" applyBorder="1" applyAlignment="1">
      <alignment horizontal="center" vertical="center" wrapText="1"/>
    </xf>
    <xf numFmtId="0" fontId="13" fillId="7" borderId="0" xfId="8" applyFont="1" applyFill="1" applyAlignment="1">
      <alignment horizontal="left" vertical="center"/>
    </xf>
    <xf numFmtId="0" fontId="14" fillId="7" borderId="27" xfId="8" applyFont="1" applyFill="1" applyBorder="1" applyAlignment="1">
      <alignment horizontal="left" vertical="center"/>
    </xf>
    <xf numFmtId="0" fontId="14" fillId="7" borderId="0" xfId="8" applyFont="1" applyFill="1" applyAlignment="1">
      <alignment horizontal="left" vertical="center"/>
    </xf>
    <xf numFmtId="0" fontId="15" fillId="0" borderId="27" xfId="8" applyFont="1" applyBorder="1" applyAlignment="1">
      <alignment horizontal="left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/>
    </xf>
    <xf numFmtId="0" fontId="18" fillId="4" borderId="13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6" borderId="13" xfId="0" applyFont="1" applyFill="1" applyBorder="1" applyAlignment="1">
      <alignment horizontal="center" vertical="center" wrapText="1"/>
    </xf>
    <xf numFmtId="177" fontId="18" fillId="0" borderId="13" xfId="0" applyNumberFormat="1" applyFont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0" borderId="13" xfId="0" applyFont="1" applyBorder="1" applyAlignment="1">
      <alignment horizontal="left" vertical="center"/>
    </xf>
    <xf numFmtId="0" fontId="18" fillId="4" borderId="13" xfId="0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 vertical="center"/>
    </xf>
    <xf numFmtId="0" fontId="18" fillId="6" borderId="13" xfId="0" applyFont="1" applyFill="1" applyBorder="1" applyAlignment="1">
      <alignment horizontal="center" vertical="center"/>
    </xf>
    <xf numFmtId="0" fontId="18" fillId="3" borderId="0" xfId="0" applyFont="1" applyFill="1">
      <alignment vertical="center"/>
    </xf>
    <xf numFmtId="0" fontId="18" fillId="2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2" fontId="18" fillId="4" borderId="1" xfId="0" applyNumberFormat="1" applyFont="1" applyFill="1" applyBorder="1" applyAlignment="1">
      <alignment horizontal="center" vertical="center"/>
    </xf>
    <xf numFmtId="2" fontId="18" fillId="5" borderId="1" xfId="0" applyNumberFormat="1" applyFont="1" applyFill="1" applyBorder="1" applyAlignment="1">
      <alignment horizontal="center" vertical="center"/>
    </xf>
    <xf numFmtId="2" fontId="18" fillId="6" borderId="1" xfId="0" applyNumberFormat="1" applyFont="1" applyFill="1" applyBorder="1" applyAlignment="1">
      <alignment horizontal="center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178" fontId="18" fillId="0" borderId="1" xfId="6" applyNumberFormat="1" applyFont="1" applyBorder="1" applyAlignment="1">
      <alignment horizontal="center" vertical="center" wrapText="1"/>
    </xf>
    <xf numFmtId="180" fontId="20" fillId="0" borderId="1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78" fontId="18" fillId="4" borderId="1" xfId="6" applyNumberFormat="1" applyFont="1" applyFill="1" applyBorder="1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  <xf numFmtId="0" fontId="19" fillId="0" borderId="1" xfId="3" applyFont="1" applyBorder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18" fillId="0" borderId="7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1" fontId="18" fillId="0" borderId="0" xfId="0" applyNumberFormat="1" applyFont="1" applyAlignment="1">
      <alignment horizontal="center" vertical="center"/>
    </xf>
    <xf numFmtId="0" fontId="18" fillId="0" borderId="8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left" vertical="center" wrapText="1"/>
    </xf>
    <xf numFmtId="0" fontId="18" fillId="0" borderId="7" xfId="0" applyFont="1" applyBorder="1" applyAlignment="1">
      <alignment horizontal="left" vertical="center" wrapText="1"/>
    </xf>
    <xf numFmtId="0" fontId="18" fillId="0" borderId="8" xfId="0" applyFont="1" applyBorder="1" applyAlignment="1">
      <alignment horizontal="left" vertical="center" wrapText="1"/>
    </xf>
    <xf numFmtId="0" fontId="22" fillId="2" borderId="0" xfId="0" applyFont="1" applyFill="1">
      <alignment vertical="center"/>
    </xf>
    <xf numFmtId="0" fontId="21" fillId="2" borderId="3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left" vertical="center"/>
    </xf>
    <xf numFmtId="2" fontId="22" fillId="2" borderId="30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left" vertical="center" wrapText="1"/>
    </xf>
    <xf numFmtId="0" fontId="18" fillId="0" borderId="23" xfId="0" applyFont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18" fillId="0" borderId="2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2" fontId="18" fillId="0" borderId="1" xfId="0" applyNumberFormat="1" applyFont="1" applyBorder="1" applyAlignment="1">
      <alignment horizontal="center" vertical="center" wrapText="1"/>
    </xf>
    <xf numFmtId="0" fontId="18" fillId="0" borderId="14" xfId="0" applyFont="1" applyBorder="1" applyAlignment="1">
      <alignment horizontal="left" vertical="center" wrapText="1"/>
    </xf>
    <xf numFmtId="0" fontId="18" fillId="0" borderId="15" xfId="0" applyFont="1" applyBorder="1" applyAlignment="1">
      <alignment horizontal="left" vertical="center" wrapText="1"/>
    </xf>
    <xf numFmtId="0" fontId="18" fillId="0" borderId="16" xfId="0" applyFont="1" applyBorder="1" applyAlignment="1">
      <alignment horizontal="left" vertical="center" wrapText="1"/>
    </xf>
    <xf numFmtId="0" fontId="18" fillId="0" borderId="17" xfId="0" applyFont="1" applyBorder="1" applyAlignment="1">
      <alignment horizontal="left" vertical="center" wrapText="1"/>
    </xf>
    <xf numFmtId="0" fontId="18" fillId="0" borderId="18" xfId="0" applyFont="1" applyBorder="1" applyAlignment="1">
      <alignment horizontal="left" vertical="center" wrapText="1"/>
    </xf>
    <xf numFmtId="0" fontId="18" fillId="0" borderId="19" xfId="0" applyFont="1" applyBorder="1" applyAlignment="1">
      <alignment horizontal="left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180" fontId="18" fillId="0" borderId="1" xfId="0" applyNumberFormat="1" applyFont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23" fillId="2" borderId="30" xfId="0" applyFont="1" applyFill="1" applyBorder="1" applyAlignment="1">
      <alignment horizontal="left" vertical="center"/>
    </xf>
    <xf numFmtId="0" fontId="26" fillId="2" borderId="0" xfId="0" applyFont="1" applyFill="1">
      <alignment vertical="center"/>
    </xf>
  </cellXfs>
  <cellStyles count="9">
    <cellStyle name="常规" xfId="0" builtinId="0"/>
    <cellStyle name="常规 10" xfId="3" xr:uid="{00000000-0005-0000-0000-000031000000}"/>
    <cellStyle name="常规 13" xfId="4" xr:uid="{00000000-0005-0000-0000-000034000000}"/>
    <cellStyle name="常规 13 2" xfId="1" xr:uid="{00000000-0005-0000-0000-000005000000}"/>
    <cellStyle name="常规 2" xfId="5" xr:uid="{00000000-0005-0000-0000-000035000000}"/>
    <cellStyle name="常规 2 2" xfId="2" xr:uid="{00000000-0005-0000-0000-00002D000000}"/>
    <cellStyle name="常规 3" xfId="6" xr:uid="{00000000-0005-0000-0000-000036000000}"/>
    <cellStyle name="常规 4" xfId="7" xr:uid="{00000000-0005-0000-0000-000037000000}"/>
    <cellStyle name="常规 5" xfId="8" xr:uid="{0C79F169-9EC2-4E3C-AFED-E599AC9F537F}"/>
  </cellStyles>
  <dxfs count="1">
    <dxf>
      <fill>
        <patternFill patternType="solid"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82550</xdr:colOff>
          <xdr:row>2</xdr:row>
          <xdr:rowOff>19050</xdr:rowOff>
        </xdr:from>
        <xdr:to>
          <xdr:col>12</xdr:col>
          <xdr:colOff>806450</xdr:colOff>
          <xdr:row>3</xdr:row>
          <xdr:rowOff>6350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新增排列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6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28A39F8-6989-4FD2-9D48-7EA9F59BEC6B}">
  <we:reference id="wa104380862" version="1.5.0.0" store="zh-CN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96233-7838-4D16-84A5-D00212F623AD}">
  <sheetPr codeName="Sheet1"/>
  <dimension ref="A1:Z17"/>
  <sheetViews>
    <sheetView tabSelected="1" zoomScale="85" zoomScaleNormal="85" workbookViewId="0">
      <selection activeCell="P11" sqref="P11"/>
    </sheetView>
  </sheetViews>
  <sheetFormatPr defaultRowHeight="21" customHeight="1"/>
  <cols>
    <col min="1" max="1" width="14.33203125" bestFit="1" customWidth="1"/>
    <col min="2" max="2" width="14.33203125" customWidth="1"/>
    <col min="3" max="3" width="15.1640625" customWidth="1"/>
    <col min="5" max="5" width="9.5" bestFit="1" customWidth="1"/>
    <col min="6" max="6" width="17.33203125" bestFit="1" customWidth="1"/>
    <col min="7" max="7" width="8.5" bestFit="1" customWidth="1"/>
    <col min="8" max="8" width="14.33203125" customWidth="1"/>
    <col min="9" max="12" width="12.6640625" customWidth="1"/>
    <col min="13" max="13" width="11.08203125" customWidth="1"/>
    <col min="14" max="14" width="8.5" bestFit="1" customWidth="1"/>
    <col min="15" max="15" width="18.58203125" customWidth="1"/>
    <col min="16" max="16" width="10.4140625" customWidth="1"/>
    <col min="18" max="18" width="10.4140625" bestFit="1" customWidth="1"/>
    <col min="19" max="21" width="8.5" bestFit="1" customWidth="1"/>
    <col min="22" max="22" width="9.5" bestFit="1" customWidth="1"/>
    <col min="23" max="23" width="17.33203125" bestFit="1" customWidth="1"/>
    <col min="24" max="24" width="8.5" bestFit="1" customWidth="1"/>
    <col min="25" max="26" width="4.83203125" bestFit="1" customWidth="1"/>
  </cols>
  <sheetData>
    <row r="1" spans="1:26" ht="21" customHeight="1">
      <c r="A1" s="1" t="s">
        <v>1321</v>
      </c>
      <c r="B1" s="84" t="s">
        <v>1312</v>
      </c>
      <c r="C1" s="84"/>
      <c r="D1" s="84"/>
      <c r="E1" s="84"/>
      <c r="F1" s="84"/>
      <c r="G1" s="84"/>
      <c r="H1" s="84"/>
      <c r="I1" s="84"/>
    </row>
    <row r="2" spans="1:26" ht="21" customHeight="1">
      <c r="A2" s="108" t="s">
        <v>1311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</row>
    <row r="3" spans="1:26" ht="21" customHeight="1">
      <c r="A3" t="s">
        <v>1314</v>
      </c>
      <c r="B3" t="s">
        <v>1315</v>
      </c>
      <c r="C3" t="s">
        <v>1313</v>
      </c>
      <c r="D3" t="s">
        <v>1316</v>
      </c>
      <c r="E3" t="s">
        <v>1317</v>
      </c>
      <c r="F3" t="s">
        <v>1318</v>
      </c>
      <c r="G3" t="s">
        <v>1319</v>
      </c>
      <c r="H3" t="s">
        <v>0</v>
      </c>
      <c r="I3" t="s">
        <v>1320</v>
      </c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>
      <c r="A4" s="109" t="s">
        <v>1311</v>
      </c>
      <c r="B4" s="109"/>
      <c r="C4" s="109"/>
      <c r="D4" s="109"/>
      <c r="E4" s="109"/>
      <c r="F4" s="109"/>
      <c r="G4" s="109"/>
      <c r="H4" s="109"/>
      <c r="I4" s="109"/>
    </row>
    <row r="5" spans="1:26" ht="21" customHeight="1">
      <c r="A5" s="110" t="s">
        <v>1311</v>
      </c>
      <c r="B5" s="110"/>
      <c r="C5" s="110"/>
      <c r="D5" s="110"/>
      <c r="E5" s="110"/>
      <c r="F5" s="110"/>
      <c r="G5" s="110"/>
      <c r="H5" s="110"/>
      <c r="I5" s="110"/>
      <c r="R5" s="1" t="s">
        <v>1310</v>
      </c>
    </row>
    <row r="6" spans="1:26" ht="21" customHeight="1">
      <c r="A6" s="110" t="s">
        <v>1311</v>
      </c>
      <c r="B6" s="110"/>
      <c r="C6" s="110"/>
      <c r="D6" s="110"/>
      <c r="E6" s="110"/>
      <c r="F6" s="110"/>
      <c r="G6" s="110"/>
      <c r="H6" s="110"/>
      <c r="I6" s="110"/>
    </row>
    <row r="7" spans="1:26" ht="21" customHeight="1">
      <c r="A7" t="s">
        <v>1314</v>
      </c>
      <c r="B7" t="s">
        <v>1315</v>
      </c>
      <c r="C7" t="s">
        <v>1313</v>
      </c>
      <c r="D7" t="s">
        <v>1316</v>
      </c>
      <c r="E7" t="s">
        <v>1317</v>
      </c>
      <c r="F7" t="s">
        <v>1318</v>
      </c>
      <c r="G7" t="s">
        <v>1319</v>
      </c>
      <c r="H7" t="s">
        <v>0</v>
      </c>
      <c r="I7" t="s">
        <v>1320</v>
      </c>
    </row>
    <row r="8" spans="1:26" ht="21" customHeight="1">
      <c r="A8" s="110" t="s">
        <v>1311</v>
      </c>
      <c r="B8" s="110"/>
      <c r="C8" s="110"/>
      <c r="D8" s="110"/>
      <c r="E8" s="110"/>
      <c r="F8" s="110"/>
      <c r="G8" s="110"/>
      <c r="H8" s="110"/>
      <c r="I8" s="110"/>
    </row>
    <row r="9" spans="1:26" ht="21" customHeight="1">
      <c r="A9" t="s">
        <v>1309</v>
      </c>
      <c r="B9" t="s">
        <v>1315</v>
      </c>
      <c r="C9" t="s">
        <v>1313</v>
      </c>
      <c r="D9" t="s">
        <v>1316</v>
      </c>
      <c r="E9" t="s">
        <v>1317</v>
      </c>
      <c r="F9" t="s">
        <v>1318</v>
      </c>
      <c r="G9" t="s">
        <v>1319</v>
      </c>
      <c r="H9" t="s">
        <v>0</v>
      </c>
      <c r="I9" t="s">
        <v>1320</v>
      </c>
    </row>
    <row r="10" spans="1:26" ht="21" customHeight="1">
      <c r="A10" s="110" t="s">
        <v>1311</v>
      </c>
      <c r="B10" s="110"/>
      <c r="C10" s="110"/>
      <c r="D10" s="110"/>
      <c r="E10" s="110"/>
      <c r="F10" s="110"/>
      <c r="G10" s="110"/>
      <c r="H10" s="110"/>
      <c r="I10" s="110"/>
    </row>
    <row r="11" spans="1:26" ht="21" customHeight="1">
      <c r="A11" t="s">
        <v>1309</v>
      </c>
      <c r="B11" t="s">
        <v>1315</v>
      </c>
      <c r="C11" t="s">
        <v>1313</v>
      </c>
      <c r="D11" t="s">
        <v>1316</v>
      </c>
      <c r="E11" t="s">
        <v>1317</v>
      </c>
      <c r="F11" t="s">
        <v>1318</v>
      </c>
      <c r="G11" t="s">
        <v>1319</v>
      </c>
      <c r="H11" t="s">
        <v>0</v>
      </c>
      <c r="I11" t="s">
        <v>1320</v>
      </c>
    </row>
    <row r="12" spans="1:26" ht="21" customHeight="1">
      <c r="A12" s="110" t="s">
        <v>1311</v>
      </c>
      <c r="B12" s="110"/>
      <c r="C12" s="110"/>
      <c r="D12" s="110"/>
      <c r="E12" s="110"/>
      <c r="F12" s="110"/>
      <c r="G12" s="110"/>
      <c r="H12" s="110"/>
      <c r="I12" s="110"/>
    </row>
    <row r="13" spans="1:26" ht="21" customHeight="1">
      <c r="A13" t="s">
        <v>1309</v>
      </c>
      <c r="B13" t="s">
        <v>1315</v>
      </c>
      <c r="C13" t="s">
        <v>1313</v>
      </c>
      <c r="D13" t="s">
        <v>1316</v>
      </c>
      <c r="E13" t="s">
        <v>1317</v>
      </c>
      <c r="F13" t="s">
        <v>1318</v>
      </c>
      <c r="G13" t="s">
        <v>1319</v>
      </c>
      <c r="H13" t="s">
        <v>0</v>
      </c>
      <c r="I13" t="s">
        <v>1320</v>
      </c>
    </row>
    <row r="14" spans="1:26" ht="21" customHeight="1">
      <c r="A14" s="110" t="s">
        <v>1311</v>
      </c>
      <c r="B14" s="110"/>
      <c r="C14" s="110"/>
      <c r="D14" s="110"/>
      <c r="E14" s="110"/>
      <c r="F14" s="110"/>
      <c r="G14" s="110"/>
      <c r="H14" s="110"/>
      <c r="I14" s="110"/>
    </row>
    <row r="15" spans="1:26" ht="21" customHeight="1">
      <c r="A15" t="s">
        <v>1309</v>
      </c>
      <c r="B15" t="s">
        <v>1315</v>
      </c>
      <c r="C15" t="s">
        <v>1313</v>
      </c>
      <c r="D15" t="s">
        <v>1316</v>
      </c>
      <c r="E15" t="s">
        <v>1317</v>
      </c>
      <c r="F15" t="s">
        <v>1318</v>
      </c>
      <c r="G15" t="s">
        <v>1319</v>
      </c>
      <c r="H15" t="s">
        <v>0</v>
      </c>
      <c r="I15" t="s">
        <v>1320</v>
      </c>
    </row>
    <row r="16" spans="1:26" ht="21" customHeight="1">
      <c r="A16" s="110" t="s">
        <v>1311</v>
      </c>
      <c r="B16" s="110"/>
      <c r="C16" s="110"/>
      <c r="D16" s="110"/>
      <c r="E16" s="110"/>
      <c r="F16" s="110"/>
      <c r="G16" s="110"/>
      <c r="H16" s="110"/>
      <c r="I16" s="110"/>
    </row>
    <row r="17" spans="1:9" ht="21" customHeight="1">
      <c r="A17" t="s">
        <v>1309</v>
      </c>
      <c r="B17" t="s">
        <v>1315</v>
      </c>
      <c r="C17" t="s">
        <v>1313</v>
      </c>
      <c r="D17" t="s">
        <v>1316</v>
      </c>
      <c r="E17" t="s">
        <v>1317</v>
      </c>
      <c r="F17" t="s">
        <v>1318</v>
      </c>
      <c r="G17" t="s">
        <v>1319</v>
      </c>
      <c r="H17" t="s">
        <v>0</v>
      </c>
      <c r="I17" t="s">
        <v>1320</v>
      </c>
    </row>
  </sheetData>
  <mergeCells count="9">
    <mergeCell ref="A8:I8"/>
    <mergeCell ref="A10:I10"/>
    <mergeCell ref="A12:I12"/>
    <mergeCell ref="A14:I14"/>
    <mergeCell ref="A16:I16"/>
    <mergeCell ref="B1:I1"/>
    <mergeCell ref="A4:I4"/>
    <mergeCell ref="A5:I5"/>
    <mergeCell ref="A6:I6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AddProject">
                <anchor moveWithCells="1" sizeWithCells="1">
                  <from>
                    <xdr:col>12</xdr:col>
                    <xdr:colOff>82550</xdr:colOff>
                    <xdr:row>2</xdr:row>
                    <xdr:rowOff>19050</xdr:rowOff>
                  </from>
                  <to>
                    <xdr:col>12</xdr:col>
                    <xdr:colOff>806450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1FF9-050F-45DB-AE13-12B873092DEF}">
  <sheetPr codeName="Sheet2"/>
  <dimension ref="A1:S66"/>
  <sheetViews>
    <sheetView showGridLines="0" zoomScale="70" zoomScaleNormal="70" workbookViewId="0">
      <selection activeCell="D44" sqref="D44"/>
    </sheetView>
  </sheetViews>
  <sheetFormatPr defaultColWidth="8.75" defaultRowHeight="18"/>
  <cols>
    <col min="1" max="1" width="13.9140625" style="63" bestFit="1" customWidth="1"/>
    <col min="2" max="2" width="11.25" style="63" bestFit="1" customWidth="1"/>
    <col min="3" max="3" width="10.75" style="63" bestFit="1" customWidth="1"/>
    <col min="4" max="4" width="24.58203125" style="67" bestFit="1" customWidth="1"/>
    <col min="5" max="5" width="37.25" style="63" bestFit="1" customWidth="1"/>
    <col min="6" max="6" width="9.33203125" style="63" bestFit="1" customWidth="1"/>
    <col min="7" max="7" width="8.75" style="68" bestFit="1" customWidth="1"/>
    <col min="8" max="8" width="11.5" style="68" bestFit="1" customWidth="1"/>
    <col min="9" max="9" width="9.1640625" style="68" bestFit="1" customWidth="1"/>
    <col min="10" max="10" width="8.75" style="68" bestFit="1" customWidth="1"/>
    <col min="11" max="11" width="11.25" style="68" customWidth="1"/>
    <col min="12" max="12" width="9.1640625" style="68" bestFit="1" customWidth="1"/>
    <col min="13" max="13" width="8.75" style="68" bestFit="1" customWidth="1"/>
    <col min="14" max="14" width="11.25" style="68" customWidth="1"/>
    <col min="15" max="17" width="6.4140625" style="68" bestFit="1" customWidth="1"/>
    <col min="18" max="18" width="59.58203125" style="63" bestFit="1" customWidth="1"/>
    <col min="19" max="19" width="29.6640625" style="63" bestFit="1" customWidth="1"/>
    <col min="20" max="16384" width="8.75" style="63"/>
  </cols>
  <sheetData>
    <row r="1" spans="1:19" s="45" customFormat="1" ht="42.4" customHeight="1">
      <c r="A1" s="39" t="s">
        <v>1168</v>
      </c>
      <c r="B1" s="39" t="s">
        <v>1169</v>
      </c>
      <c r="C1" s="39" t="s">
        <v>1170</v>
      </c>
      <c r="D1" s="77" t="s">
        <v>1171</v>
      </c>
      <c r="E1" s="39" t="s">
        <v>1172</v>
      </c>
      <c r="F1" s="39" t="s">
        <v>1173</v>
      </c>
      <c r="G1" s="39" t="s">
        <v>1174</v>
      </c>
      <c r="H1" s="40" t="s">
        <v>1175</v>
      </c>
      <c r="I1" s="41" t="s">
        <v>1176</v>
      </c>
      <c r="J1" s="41" t="s">
        <v>1177</v>
      </c>
      <c r="K1" s="41" t="s">
        <v>1178</v>
      </c>
      <c r="L1" s="42" t="s">
        <v>1179</v>
      </c>
      <c r="M1" s="42" t="s">
        <v>1180</v>
      </c>
      <c r="N1" s="42" t="s">
        <v>1181</v>
      </c>
      <c r="O1" s="43" t="s">
        <v>1182</v>
      </c>
      <c r="P1" s="43" t="s">
        <v>1183</v>
      </c>
      <c r="Q1" s="43" t="s">
        <v>1184</v>
      </c>
      <c r="R1" s="44" t="s">
        <v>1185</v>
      </c>
    </row>
    <row r="2" spans="1:19" s="45" customFormat="1" ht="36.75" customHeight="1">
      <c r="A2" s="46" t="s">
        <v>1186</v>
      </c>
      <c r="B2" s="46"/>
      <c r="C2" s="46"/>
      <c r="D2" s="77"/>
      <c r="E2" s="39"/>
      <c r="F2" s="39"/>
      <c r="G2" s="39"/>
      <c r="H2" s="40"/>
      <c r="I2" s="47"/>
      <c r="J2" s="47"/>
      <c r="K2" s="47"/>
      <c r="L2" s="48"/>
      <c r="M2" s="48"/>
      <c r="N2" s="48"/>
      <c r="O2" s="49"/>
      <c r="P2" s="49"/>
      <c r="Q2" s="49"/>
      <c r="R2" s="44"/>
      <c r="S2" s="50" t="s">
        <v>1187</v>
      </c>
    </row>
    <row r="3" spans="1:19" s="45" customFormat="1" ht="25" customHeight="1">
      <c r="A3" s="51">
        <v>1</v>
      </c>
      <c r="B3" s="51" t="s">
        <v>1188</v>
      </c>
      <c r="C3" s="51">
        <v>-0.1</v>
      </c>
      <c r="D3" s="52" t="s">
        <v>1189</v>
      </c>
      <c r="E3" s="53" t="s">
        <v>40</v>
      </c>
      <c r="F3" s="54" t="s">
        <v>41</v>
      </c>
      <c r="G3" s="55">
        <v>4</v>
      </c>
      <c r="H3" s="55" t="str">
        <f>RIGHT(E3,4)</f>
        <v>2342</v>
      </c>
      <c r="I3" s="56">
        <v>13.43</v>
      </c>
      <c r="J3" s="56">
        <f>H3*I3*10^-3</f>
        <v>31.453059999999997</v>
      </c>
      <c r="K3" s="56">
        <f>G3*J3</f>
        <v>125.81223999999999</v>
      </c>
      <c r="L3" s="57"/>
      <c r="M3" s="57"/>
      <c r="N3" s="57">
        <f>J3*M3</f>
        <v>0</v>
      </c>
      <c r="O3" s="58"/>
      <c r="P3" s="58"/>
      <c r="Q3" s="58"/>
      <c r="R3" s="52" t="s">
        <v>1190</v>
      </c>
      <c r="S3" s="50" t="s">
        <v>1191</v>
      </c>
    </row>
    <row r="4" spans="1:19" s="45" customFormat="1" ht="18.5">
      <c r="A4" s="51">
        <v>2</v>
      </c>
      <c r="B4" s="51" t="s">
        <v>1192</v>
      </c>
      <c r="C4" s="51">
        <v>-0.1</v>
      </c>
      <c r="D4" s="90" t="s">
        <v>1193</v>
      </c>
      <c r="E4" s="53" t="s">
        <v>1279</v>
      </c>
      <c r="F4" s="54" t="s">
        <v>41</v>
      </c>
      <c r="G4" s="55">
        <f>G3</f>
        <v>4</v>
      </c>
      <c r="H4" s="55" t="str">
        <f>RIGHT(E4,4)</f>
        <v>3950</v>
      </c>
      <c r="I4" s="56">
        <v>3.1086</v>
      </c>
      <c r="J4" s="56">
        <f>H4*I4*10^-3+2*0.15*0.04*2.5*7.85</f>
        <v>12.514469999999999</v>
      </c>
      <c r="K4" s="56">
        <f>G4*J4</f>
        <v>50.057879999999997</v>
      </c>
      <c r="L4" s="57"/>
      <c r="M4" s="57"/>
      <c r="N4" s="57">
        <f>J4*M4</f>
        <v>0</v>
      </c>
      <c r="O4" s="58"/>
      <c r="P4" s="58"/>
      <c r="Q4" s="58"/>
      <c r="R4" s="52" t="s">
        <v>1190</v>
      </c>
    </row>
    <row r="5" spans="1:19" s="45" customFormat="1" ht="33" customHeight="1">
      <c r="A5" s="51"/>
      <c r="B5" s="51" t="s">
        <v>1192</v>
      </c>
      <c r="C5" s="51">
        <v>-0.1</v>
      </c>
      <c r="D5" s="91"/>
      <c r="E5" s="53"/>
      <c r="F5" s="54"/>
      <c r="G5" s="55"/>
      <c r="H5" s="55"/>
      <c r="I5" s="56"/>
      <c r="J5" s="56"/>
      <c r="K5" s="56"/>
      <c r="L5" s="57"/>
      <c r="M5" s="57"/>
      <c r="N5" s="57"/>
      <c r="O5" s="58"/>
      <c r="P5" s="58"/>
      <c r="Q5" s="58"/>
      <c r="R5" s="52"/>
    </row>
    <row r="6" spans="1:19" s="45" customFormat="1" ht="18.5">
      <c r="A6" s="51">
        <v>3</v>
      </c>
      <c r="B6" s="51" t="s">
        <v>1192</v>
      </c>
      <c r="C6" s="51">
        <v>-0.1</v>
      </c>
      <c r="D6" s="52" t="s">
        <v>1194</v>
      </c>
      <c r="E6" s="53" t="s">
        <v>61</v>
      </c>
      <c r="F6" s="54" t="s">
        <v>38</v>
      </c>
      <c r="G6" s="55">
        <f>G3</f>
        <v>4</v>
      </c>
      <c r="H6" s="55" t="str">
        <f t="shared" ref="H6:H10" si="0">RIGHT(E6,4)</f>
        <v>1559</v>
      </c>
      <c r="I6" s="56">
        <v>2.3235999999999999</v>
      </c>
      <c r="J6" s="56">
        <f>H6*I6*10^-3+2*0.04*0.04*2.5*7.85</f>
        <v>3.6852923999999998</v>
      </c>
      <c r="K6" s="56">
        <f t="shared" ref="K6:K26" si="1">G6*J6</f>
        <v>14.741169599999999</v>
      </c>
      <c r="L6" s="57"/>
      <c r="M6" s="57"/>
      <c r="N6" s="57">
        <f t="shared" ref="N6:N26" si="2">J6*M6</f>
        <v>0</v>
      </c>
      <c r="O6" s="58"/>
      <c r="P6" s="58"/>
      <c r="Q6" s="58"/>
      <c r="R6" s="52" t="s">
        <v>1190</v>
      </c>
      <c r="S6" s="50" t="s">
        <v>1195</v>
      </c>
    </row>
    <row r="7" spans="1:19" s="45" customFormat="1" ht="18.5">
      <c r="A7" s="51">
        <v>4</v>
      </c>
      <c r="B7" s="51" t="s">
        <v>1192</v>
      </c>
      <c r="C7" s="51">
        <v>-0.1</v>
      </c>
      <c r="D7" s="52" t="s">
        <v>1196</v>
      </c>
      <c r="E7" s="53" t="s">
        <v>62</v>
      </c>
      <c r="F7" s="54" t="s">
        <v>38</v>
      </c>
      <c r="G7" s="55">
        <f>G3</f>
        <v>4</v>
      </c>
      <c r="H7" s="55" t="str">
        <f t="shared" si="0"/>
        <v>2222</v>
      </c>
      <c r="I7" s="56">
        <v>2.7946</v>
      </c>
      <c r="J7" s="56">
        <f>H7*I7*10^-3+2*0.04*0.04*2.5*7.85</f>
        <v>6.2724012</v>
      </c>
      <c r="K7" s="56">
        <f t="shared" si="1"/>
        <v>25.0896048</v>
      </c>
      <c r="L7" s="57"/>
      <c r="M7" s="57"/>
      <c r="N7" s="57">
        <f t="shared" si="2"/>
        <v>0</v>
      </c>
      <c r="O7" s="58"/>
      <c r="P7" s="58"/>
      <c r="Q7" s="58"/>
      <c r="R7" s="52" t="s">
        <v>1190</v>
      </c>
      <c r="S7" s="50" t="s">
        <v>1197</v>
      </c>
    </row>
    <row r="8" spans="1:19" s="45" customFormat="1" ht="25" customHeight="1">
      <c r="A8" s="51">
        <v>5</v>
      </c>
      <c r="B8" s="51" t="s">
        <v>1192</v>
      </c>
      <c r="C8" s="51">
        <v>-0.1</v>
      </c>
      <c r="D8" s="52" t="s">
        <v>1198</v>
      </c>
      <c r="E8" s="53" t="s">
        <v>42</v>
      </c>
      <c r="F8" s="54" t="s">
        <v>41</v>
      </c>
      <c r="G8" s="55">
        <f>4</f>
        <v>4</v>
      </c>
      <c r="H8" s="55" t="str">
        <f t="shared" si="0"/>
        <v>7340</v>
      </c>
      <c r="I8" s="56">
        <v>3.5796000000000001</v>
      </c>
      <c r="J8" s="56">
        <f t="shared" ref="J8:J18" si="3">H8*I8*10^-3</f>
        <v>26.274263999999999</v>
      </c>
      <c r="K8" s="56">
        <f t="shared" si="1"/>
        <v>105.09705599999999</v>
      </c>
      <c r="L8" s="57"/>
      <c r="M8" s="57"/>
      <c r="N8" s="57">
        <f t="shared" si="2"/>
        <v>0</v>
      </c>
      <c r="O8" s="58"/>
      <c r="P8" s="58"/>
      <c r="Q8" s="58"/>
      <c r="R8" s="52" t="s">
        <v>1190</v>
      </c>
    </row>
    <row r="9" spans="1:19" s="45" customFormat="1" ht="25" customHeight="1">
      <c r="A9" s="51">
        <v>6</v>
      </c>
      <c r="B9" s="51" t="s">
        <v>1192</v>
      </c>
      <c r="C9" s="51">
        <v>-0.1</v>
      </c>
      <c r="D9" s="52" t="s">
        <v>1199</v>
      </c>
      <c r="E9" s="53" t="s">
        <v>43</v>
      </c>
      <c r="F9" s="54" t="s">
        <v>41</v>
      </c>
      <c r="G9" s="55">
        <f>4</f>
        <v>4</v>
      </c>
      <c r="H9" s="55" t="str">
        <f t="shared" si="0"/>
        <v>9000</v>
      </c>
      <c r="I9" s="56">
        <v>3.5796000000000001</v>
      </c>
      <c r="J9" s="56">
        <f t="shared" si="3"/>
        <v>32.2164</v>
      </c>
      <c r="K9" s="56">
        <f t="shared" si="1"/>
        <v>128.8656</v>
      </c>
      <c r="L9" s="57"/>
      <c r="M9" s="57"/>
      <c r="N9" s="57">
        <f t="shared" si="2"/>
        <v>0</v>
      </c>
      <c r="O9" s="58"/>
      <c r="P9" s="58"/>
      <c r="Q9" s="58"/>
      <c r="R9" s="52" t="s">
        <v>1190</v>
      </c>
    </row>
    <row r="10" spans="1:19" s="45" customFormat="1" ht="25" customHeight="1">
      <c r="A10" s="51">
        <v>7</v>
      </c>
      <c r="B10" s="51" t="s">
        <v>1200</v>
      </c>
      <c r="C10" s="51">
        <v>-0.1</v>
      </c>
      <c r="D10" s="52" t="s">
        <v>1201</v>
      </c>
      <c r="E10" s="53" t="s">
        <v>44</v>
      </c>
      <c r="F10" s="54" t="s">
        <v>29</v>
      </c>
      <c r="G10" s="55">
        <f>4</f>
        <v>4</v>
      </c>
      <c r="H10" s="55" t="str">
        <f t="shared" si="0"/>
        <v>4900</v>
      </c>
      <c r="I10" s="56">
        <v>0.39500000000000002</v>
      </c>
      <c r="J10" s="56">
        <f t="shared" si="3"/>
        <v>1.9355</v>
      </c>
      <c r="K10" s="56">
        <f t="shared" si="1"/>
        <v>7.742</v>
      </c>
      <c r="L10" s="57"/>
      <c r="M10" s="57"/>
      <c r="N10" s="57">
        <f t="shared" si="2"/>
        <v>0</v>
      </c>
      <c r="O10" s="58"/>
      <c r="P10" s="58"/>
      <c r="Q10" s="58"/>
      <c r="R10" s="52" t="s">
        <v>1190</v>
      </c>
    </row>
    <row r="11" spans="1:19" s="45" customFormat="1" ht="25" customHeight="1">
      <c r="A11" s="51">
        <v>8</v>
      </c>
      <c r="B11" s="51" t="s">
        <v>1202</v>
      </c>
      <c r="C11" s="51">
        <v>-0.1</v>
      </c>
      <c r="D11" s="52" t="s">
        <v>1203</v>
      </c>
      <c r="E11" s="52" t="s">
        <v>45</v>
      </c>
      <c r="F11" s="54" t="s">
        <v>29</v>
      </c>
      <c r="G11" s="55">
        <f>G10*2</f>
        <v>8</v>
      </c>
      <c r="H11" s="55" t="str">
        <f>RIGHT(E11,2)</f>
        <v>50</v>
      </c>
      <c r="I11" s="56">
        <v>2.3765875000000003</v>
      </c>
      <c r="J11" s="56">
        <f t="shared" si="3"/>
        <v>0.11882937500000001</v>
      </c>
      <c r="K11" s="56">
        <f t="shared" si="1"/>
        <v>0.95063500000000012</v>
      </c>
      <c r="L11" s="57"/>
      <c r="M11" s="57"/>
      <c r="N11" s="57">
        <f t="shared" si="2"/>
        <v>0</v>
      </c>
      <c r="O11" s="58"/>
      <c r="P11" s="58"/>
      <c r="Q11" s="58"/>
      <c r="R11" s="52" t="s">
        <v>1190</v>
      </c>
    </row>
    <row r="12" spans="1:19" s="45" customFormat="1" ht="25" customHeight="1">
      <c r="A12" s="51">
        <v>9</v>
      </c>
      <c r="B12" s="51" t="s">
        <v>1204</v>
      </c>
      <c r="C12" s="51">
        <v>-0.1</v>
      </c>
      <c r="D12" s="52" t="s">
        <v>1205</v>
      </c>
      <c r="E12" s="52" t="s">
        <v>1206</v>
      </c>
      <c r="F12" s="54" t="s">
        <v>29</v>
      </c>
      <c r="G12" s="55">
        <f>MID(G1,5,1)*2*G3</f>
        <v>16</v>
      </c>
      <c r="H12" s="55" t="str">
        <f>RIGHT(E12,2)</f>
        <v>50</v>
      </c>
      <c r="I12" s="56">
        <v>6.7169999999999996</v>
      </c>
      <c r="J12" s="56">
        <f t="shared" si="3"/>
        <v>0.33584999999999998</v>
      </c>
      <c r="K12" s="56">
        <f t="shared" si="1"/>
        <v>5.3735999999999997</v>
      </c>
      <c r="L12" s="57"/>
      <c r="M12" s="57"/>
      <c r="N12" s="57">
        <f t="shared" si="2"/>
        <v>0</v>
      </c>
      <c r="O12" s="58"/>
      <c r="P12" s="58"/>
      <c r="Q12" s="58"/>
      <c r="R12" s="52" t="s">
        <v>1190</v>
      </c>
    </row>
    <row r="13" spans="1:19" s="45" customFormat="1" ht="25" customHeight="1">
      <c r="A13" s="51">
        <v>10</v>
      </c>
      <c r="B13" s="51" t="s">
        <v>1207</v>
      </c>
      <c r="C13" s="51">
        <v>-0.1</v>
      </c>
      <c r="D13" s="52" t="s">
        <v>1208</v>
      </c>
      <c r="E13" s="53" t="s">
        <v>46</v>
      </c>
      <c r="F13" s="54" t="s">
        <v>41</v>
      </c>
      <c r="G13" s="55">
        <f>4</f>
        <v>4</v>
      </c>
      <c r="H13" s="55" t="str">
        <f>RIGHT(E13,3)</f>
        <v>400</v>
      </c>
      <c r="I13" s="56">
        <v>5.8875000000000002</v>
      </c>
      <c r="J13" s="56">
        <f t="shared" si="3"/>
        <v>2.355</v>
      </c>
      <c r="K13" s="56">
        <f t="shared" si="1"/>
        <v>9.42</v>
      </c>
      <c r="L13" s="57"/>
      <c r="M13" s="57"/>
      <c r="N13" s="57">
        <f t="shared" si="2"/>
        <v>0</v>
      </c>
      <c r="O13" s="58"/>
      <c r="P13" s="58"/>
      <c r="Q13" s="58"/>
      <c r="R13" s="52" t="s">
        <v>1190</v>
      </c>
    </row>
    <row r="14" spans="1:19" s="45" customFormat="1" ht="25" customHeight="1">
      <c r="A14" s="51">
        <v>11</v>
      </c>
      <c r="B14" s="51" t="s">
        <v>1200</v>
      </c>
      <c r="C14" s="51">
        <v>-0.1</v>
      </c>
      <c r="D14" s="53" t="s">
        <v>1209</v>
      </c>
      <c r="E14" s="52" t="s">
        <v>47</v>
      </c>
      <c r="F14" s="54" t="s">
        <v>29</v>
      </c>
      <c r="G14" s="55">
        <f>(G4-1)*4</f>
        <v>12</v>
      </c>
      <c r="H14" s="55" t="str">
        <f>RIGHT(E14,4)</f>
        <v>2600</v>
      </c>
      <c r="I14" s="56">
        <v>0.39500000000000002</v>
      </c>
      <c r="J14" s="56">
        <f t="shared" si="3"/>
        <v>1.0269999999999999</v>
      </c>
      <c r="K14" s="56">
        <f t="shared" si="1"/>
        <v>12.323999999999998</v>
      </c>
      <c r="L14" s="57"/>
      <c r="M14" s="57"/>
      <c r="N14" s="57">
        <f t="shared" si="2"/>
        <v>0</v>
      </c>
      <c r="O14" s="58"/>
      <c r="P14" s="58"/>
      <c r="Q14" s="58"/>
      <c r="R14" s="52" t="s">
        <v>1190</v>
      </c>
    </row>
    <row r="15" spans="1:19" s="45" customFormat="1" ht="25" customHeight="1">
      <c r="A15" s="51">
        <v>12</v>
      </c>
      <c r="B15" s="51" t="s">
        <v>1200</v>
      </c>
      <c r="C15" s="51">
        <v>-0.1</v>
      </c>
      <c r="D15" s="53" t="s">
        <v>1210</v>
      </c>
      <c r="E15" s="52" t="s">
        <v>48</v>
      </c>
      <c r="F15" s="54" t="s">
        <v>29</v>
      </c>
      <c r="G15" s="55">
        <f>2*2</f>
        <v>4</v>
      </c>
      <c r="H15" s="55" t="str">
        <f>RIGHT(E15,4)</f>
        <v>1900</v>
      </c>
      <c r="I15" s="56">
        <v>0.39500000000000002</v>
      </c>
      <c r="J15" s="56">
        <f t="shared" si="3"/>
        <v>0.75050000000000006</v>
      </c>
      <c r="K15" s="56">
        <f t="shared" si="1"/>
        <v>3.0020000000000002</v>
      </c>
      <c r="L15" s="57"/>
      <c r="M15" s="57"/>
      <c r="N15" s="57">
        <f t="shared" si="2"/>
        <v>0</v>
      </c>
      <c r="O15" s="58"/>
      <c r="P15" s="58"/>
      <c r="Q15" s="58"/>
      <c r="R15" s="52" t="s">
        <v>1211</v>
      </c>
    </row>
    <row r="16" spans="1:19" s="45" customFormat="1" ht="25" customHeight="1">
      <c r="A16" s="51">
        <v>13</v>
      </c>
      <c r="B16" s="51" t="s">
        <v>1200</v>
      </c>
      <c r="C16" s="51">
        <v>-0.1</v>
      </c>
      <c r="D16" s="52" t="s">
        <v>1212</v>
      </c>
      <c r="E16" s="52" t="s">
        <v>49</v>
      </c>
      <c r="F16" s="54" t="s">
        <v>29</v>
      </c>
      <c r="G16" s="55">
        <f>(G4+1)*2</f>
        <v>10</v>
      </c>
      <c r="H16" s="55" t="str">
        <f>RIGHT(E16,4)</f>
        <v>1500</v>
      </c>
      <c r="I16" s="56">
        <v>0.39500000000000002</v>
      </c>
      <c r="J16" s="56">
        <f t="shared" si="3"/>
        <v>0.59250000000000003</v>
      </c>
      <c r="K16" s="56">
        <f t="shared" si="1"/>
        <v>5.9250000000000007</v>
      </c>
      <c r="L16" s="57"/>
      <c r="M16" s="57"/>
      <c r="N16" s="57">
        <f t="shared" si="2"/>
        <v>0</v>
      </c>
      <c r="O16" s="58"/>
      <c r="P16" s="58"/>
      <c r="Q16" s="58"/>
      <c r="R16" s="52" t="s">
        <v>1190</v>
      </c>
    </row>
    <row r="17" spans="1:18" s="45" customFormat="1" ht="25" customHeight="1">
      <c r="A17" s="51">
        <v>14</v>
      </c>
      <c r="B17" s="51" t="s">
        <v>1200</v>
      </c>
      <c r="C17" s="51">
        <v>-0.1</v>
      </c>
      <c r="D17" s="52" t="s">
        <v>1213</v>
      </c>
      <c r="E17" s="52" t="s">
        <v>50</v>
      </c>
      <c r="F17" s="54" t="s">
        <v>29</v>
      </c>
      <c r="G17" s="55">
        <f>(G4+1)</f>
        <v>5</v>
      </c>
      <c r="H17" s="55" t="str">
        <f>RIGHT(E17,4)</f>
        <v>1000</v>
      </c>
      <c r="I17" s="56">
        <v>0.39500000000000002</v>
      </c>
      <c r="J17" s="56">
        <f t="shared" si="3"/>
        <v>0.39500000000000002</v>
      </c>
      <c r="K17" s="56">
        <f t="shared" si="1"/>
        <v>1.9750000000000001</v>
      </c>
      <c r="L17" s="57"/>
      <c r="M17" s="57"/>
      <c r="N17" s="57">
        <f t="shared" si="2"/>
        <v>0</v>
      </c>
      <c r="O17" s="58"/>
      <c r="P17" s="58"/>
      <c r="Q17" s="58"/>
      <c r="R17" s="52" t="s">
        <v>1190</v>
      </c>
    </row>
    <row r="18" spans="1:18" s="45" customFormat="1" ht="25" customHeight="1">
      <c r="A18" s="51">
        <v>15</v>
      </c>
      <c r="B18" s="51" t="s">
        <v>1188</v>
      </c>
      <c r="C18" s="51">
        <v>-0.1</v>
      </c>
      <c r="D18" s="52" t="s">
        <v>1214</v>
      </c>
      <c r="E18" s="52" t="s">
        <v>51</v>
      </c>
      <c r="F18" s="54" t="s">
        <v>29</v>
      </c>
      <c r="G18" s="55">
        <f>G16</f>
        <v>10</v>
      </c>
      <c r="H18" s="55" t="str">
        <f>RIGHT(E18,4)</f>
        <v>1400</v>
      </c>
      <c r="I18" s="56">
        <v>1.1339999999999999</v>
      </c>
      <c r="J18" s="56">
        <f t="shared" si="3"/>
        <v>1.5875999999999999</v>
      </c>
      <c r="K18" s="56">
        <f t="shared" si="1"/>
        <v>15.875999999999999</v>
      </c>
      <c r="L18" s="57"/>
      <c r="M18" s="57"/>
      <c r="N18" s="57">
        <f t="shared" si="2"/>
        <v>0</v>
      </c>
      <c r="O18" s="58"/>
      <c r="P18" s="58"/>
      <c r="Q18" s="58"/>
      <c r="R18" s="52" t="s">
        <v>1190</v>
      </c>
    </row>
    <row r="19" spans="1:18" s="45" customFormat="1" ht="25" customHeight="1">
      <c r="A19" s="51">
        <v>16</v>
      </c>
      <c r="B19" s="51" t="s">
        <v>1215</v>
      </c>
      <c r="C19" s="51">
        <v>-0.1</v>
      </c>
      <c r="D19" s="52" t="s">
        <v>1216</v>
      </c>
      <c r="E19" s="52" t="s">
        <v>52</v>
      </c>
      <c r="F19" s="54" t="s">
        <v>38</v>
      </c>
      <c r="G19" s="55">
        <f>G3</f>
        <v>4</v>
      </c>
      <c r="H19" s="55">
        <v>540</v>
      </c>
      <c r="I19" s="56">
        <v>3.7679999999999998</v>
      </c>
      <c r="J19" s="56">
        <f t="shared" ref="J19:J23" si="4">H19*I19*10^-3</f>
        <v>2.0347199999999996</v>
      </c>
      <c r="K19" s="56">
        <f t="shared" si="1"/>
        <v>8.1388799999999986</v>
      </c>
      <c r="L19" s="57"/>
      <c r="M19" s="57"/>
      <c r="N19" s="57">
        <f t="shared" si="2"/>
        <v>0</v>
      </c>
      <c r="O19" s="58"/>
      <c r="P19" s="58"/>
      <c r="Q19" s="58"/>
      <c r="R19" s="52" t="s">
        <v>1190</v>
      </c>
    </row>
    <row r="20" spans="1:18" s="45" customFormat="1" ht="25" customHeight="1">
      <c r="A20" s="51">
        <v>17</v>
      </c>
      <c r="B20" s="51" t="s">
        <v>1215</v>
      </c>
      <c r="C20" s="51">
        <v>-0.1</v>
      </c>
      <c r="D20" s="52" t="s">
        <v>1217</v>
      </c>
      <c r="E20" s="52" t="s">
        <v>53</v>
      </c>
      <c r="F20" s="54" t="s">
        <v>38</v>
      </c>
      <c r="G20" s="55">
        <f>G3</f>
        <v>4</v>
      </c>
      <c r="H20" s="55">
        <v>370</v>
      </c>
      <c r="I20" s="56">
        <v>3.7679999999999998</v>
      </c>
      <c r="J20" s="56">
        <f t="shared" si="4"/>
        <v>1.3941599999999998</v>
      </c>
      <c r="K20" s="56">
        <f t="shared" si="1"/>
        <v>5.5766399999999994</v>
      </c>
      <c r="L20" s="57"/>
      <c r="M20" s="57"/>
      <c r="N20" s="57">
        <f t="shared" si="2"/>
        <v>0</v>
      </c>
      <c r="O20" s="58"/>
      <c r="P20" s="58"/>
      <c r="Q20" s="58"/>
      <c r="R20" s="52" t="s">
        <v>1190</v>
      </c>
    </row>
    <row r="21" spans="1:18" s="45" customFormat="1" ht="25" customHeight="1">
      <c r="A21" s="51">
        <v>18</v>
      </c>
      <c r="B21" s="51" t="s">
        <v>1202</v>
      </c>
      <c r="C21" s="51">
        <v>-0.1</v>
      </c>
      <c r="D21" s="52" t="s">
        <v>1218</v>
      </c>
      <c r="E21" s="52" t="s">
        <v>63</v>
      </c>
      <c r="F21" s="54" t="s">
        <v>41</v>
      </c>
      <c r="G21" s="55">
        <f>G3</f>
        <v>4</v>
      </c>
      <c r="H21" s="55" t="str">
        <f>RIGHT(E21,3)</f>
        <v>160</v>
      </c>
      <c r="I21" s="56">
        <v>14.32625</v>
      </c>
      <c r="J21" s="56">
        <f t="shared" si="4"/>
        <v>2.2921999999999998</v>
      </c>
      <c r="K21" s="56">
        <f t="shared" si="1"/>
        <v>9.1687999999999992</v>
      </c>
      <c r="L21" s="57"/>
      <c r="M21" s="57"/>
      <c r="N21" s="57">
        <f t="shared" si="2"/>
        <v>0</v>
      </c>
      <c r="O21" s="58"/>
      <c r="P21" s="58"/>
      <c r="Q21" s="58"/>
      <c r="R21" s="52" t="s">
        <v>1190</v>
      </c>
    </row>
    <row r="22" spans="1:18" s="45" customFormat="1" ht="25" customHeight="1">
      <c r="A22" s="51">
        <v>19</v>
      </c>
      <c r="B22" s="51" t="s">
        <v>1200</v>
      </c>
      <c r="C22" s="51">
        <v>-0.1</v>
      </c>
      <c r="D22" s="52" t="s">
        <v>1219</v>
      </c>
      <c r="E22" s="52" t="s">
        <v>54</v>
      </c>
      <c r="F22" s="54" t="s">
        <v>41</v>
      </c>
      <c r="G22" s="55">
        <f>2</f>
        <v>2</v>
      </c>
      <c r="H22" s="55" t="str">
        <f>RIGHT(E22,4)</f>
        <v>4800</v>
      </c>
      <c r="I22" s="56">
        <v>0.88800000000000001</v>
      </c>
      <c r="J22" s="56">
        <f t="shared" si="4"/>
        <v>4.2623999999999995</v>
      </c>
      <c r="K22" s="56">
        <f t="shared" si="1"/>
        <v>8.524799999999999</v>
      </c>
      <c r="L22" s="57"/>
      <c r="M22" s="57"/>
      <c r="N22" s="57">
        <f t="shared" si="2"/>
        <v>0</v>
      </c>
      <c r="O22" s="58"/>
      <c r="P22" s="58"/>
      <c r="Q22" s="58"/>
      <c r="R22" s="52" t="s">
        <v>1190</v>
      </c>
    </row>
    <row r="23" spans="1:18" s="45" customFormat="1" ht="25" customHeight="1">
      <c r="A23" s="51">
        <v>20</v>
      </c>
      <c r="B23" s="51" t="s">
        <v>1220</v>
      </c>
      <c r="C23" s="51">
        <v>-0.1</v>
      </c>
      <c r="D23" s="52" t="s">
        <v>1221</v>
      </c>
      <c r="E23" s="52" t="s">
        <v>55</v>
      </c>
      <c r="F23" s="54" t="s">
        <v>38</v>
      </c>
      <c r="G23" s="55">
        <f>G22*2</f>
        <v>4</v>
      </c>
      <c r="H23" s="55" t="str">
        <f>RIGHT(E23,2)</f>
        <v>50</v>
      </c>
      <c r="I23" s="56">
        <v>4.71</v>
      </c>
      <c r="J23" s="56">
        <f t="shared" si="4"/>
        <v>0.23550000000000001</v>
      </c>
      <c r="K23" s="56">
        <f t="shared" si="1"/>
        <v>0.94200000000000006</v>
      </c>
      <c r="L23" s="57"/>
      <c r="M23" s="57"/>
      <c r="N23" s="57">
        <f t="shared" si="2"/>
        <v>0</v>
      </c>
      <c r="O23" s="58"/>
      <c r="P23" s="58"/>
      <c r="Q23" s="58"/>
      <c r="R23" s="52" t="s">
        <v>1222</v>
      </c>
    </row>
    <row r="24" spans="1:18" s="45" customFormat="1" ht="25" customHeight="1">
      <c r="A24" s="51">
        <v>21</v>
      </c>
      <c r="B24" s="51" t="s">
        <v>1215</v>
      </c>
      <c r="C24" s="51">
        <v>-0.1</v>
      </c>
      <c r="D24" s="52" t="s">
        <v>1223</v>
      </c>
      <c r="E24" s="52" t="s">
        <v>64</v>
      </c>
      <c r="F24" s="54" t="s">
        <v>38</v>
      </c>
      <c r="G24" s="55">
        <f>G22*2</f>
        <v>4</v>
      </c>
      <c r="H24" s="55">
        <v>420</v>
      </c>
      <c r="I24" s="56">
        <v>1.57</v>
      </c>
      <c r="J24" s="56">
        <f t="shared" ref="J24" si="5">H24*I24*10^-3</f>
        <v>0.65939999999999999</v>
      </c>
      <c r="K24" s="56">
        <f t="shared" si="1"/>
        <v>2.6375999999999999</v>
      </c>
      <c r="L24" s="57"/>
      <c r="M24" s="57"/>
      <c r="N24" s="57">
        <f t="shared" si="2"/>
        <v>0</v>
      </c>
      <c r="O24" s="58"/>
      <c r="P24" s="58"/>
      <c r="Q24" s="58"/>
      <c r="R24" s="52" t="s">
        <v>1222</v>
      </c>
    </row>
    <row r="25" spans="1:18" s="45" customFormat="1" ht="25" customHeight="1">
      <c r="A25" s="51">
        <v>22</v>
      </c>
      <c r="B25" s="51" t="s">
        <v>1215</v>
      </c>
      <c r="C25" s="51">
        <v>-0.1</v>
      </c>
      <c r="D25" s="52" t="s">
        <v>1224</v>
      </c>
      <c r="E25" s="52" t="s">
        <v>65</v>
      </c>
      <c r="F25" s="54" t="s">
        <v>38</v>
      </c>
      <c r="G25" s="55">
        <f>G24</f>
        <v>4</v>
      </c>
      <c r="H25" s="55">
        <v>355</v>
      </c>
      <c r="I25" s="56">
        <v>1.57</v>
      </c>
      <c r="J25" s="56">
        <f t="shared" ref="J25" si="6">H25*I25*10^-3</f>
        <v>0.55735000000000001</v>
      </c>
      <c r="K25" s="56">
        <f t="shared" si="1"/>
        <v>2.2294</v>
      </c>
      <c r="L25" s="57"/>
      <c r="M25" s="57"/>
      <c r="N25" s="57">
        <f t="shared" si="2"/>
        <v>0</v>
      </c>
      <c r="O25" s="58"/>
      <c r="P25" s="58"/>
      <c r="Q25" s="58"/>
      <c r="R25" s="52" t="s">
        <v>1222</v>
      </c>
    </row>
    <row r="26" spans="1:18" s="45" customFormat="1" ht="25" customHeight="1">
      <c r="A26" s="51">
        <v>23</v>
      </c>
      <c r="B26" s="51" t="s">
        <v>1225</v>
      </c>
      <c r="C26" s="51">
        <v>-0.1</v>
      </c>
      <c r="D26" s="52" t="s">
        <v>1226</v>
      </c>
      <c r="E26" s="52" t="s">
        <v>39</v>
      </c>
      <c r="F26" s="54" t="s">
        <v>38</v>
      </c>
      <c r="G26" s="55">
        <f>LEFT(E60,1)*RIGHT(E60,2)*4</f>
        <v>112</v>
      </c>
      <c r="H26" s="55"/>
      <c r="I26" s="56"/>
      <c r="J26" s="56">
        <f>0.04*0.018*2*7.85</f>
        <v>1.1303999999999998E-2</v>
      </c>
      <c r="K26" s="56">
        <f t="shared" si="1"/>
        <v>1.2660479999999998</v>
      </c>
      <c r="L26" s="57"/>
      <c r="M26" s="57"/>
      <c r="N26" s="57">
        <f t="shared" si="2"/>
        <v>0</v>
      </c>
      <c r="O26" s="58"/>
      <c r="P26" s="58"/>
      <c r="Q26" s="58"/>
      <c r="R26" s="52" t="s">
        <v>1222</v>
      </c>
    </row>
    <row r="27" spans="1:18" s="45" customFormat="1" ht="25" customHeight="1">
      <c r="A27" s="51"/>
      <c r="B27" s="51" t="s">
        <v>1227</v>
      </c>
      <c r="C27" s="51">
        <v>-0.1</v>
      </c>
      <c r="D27" s="52"/>
      <c r="E27" s="52"/>
      <c r="F27" s="54"/>
      <c r="G27" s="55"/>
      <c r="H27" s="55"/>
      <c r="I27" s="56"/>
      <c r="J27" s="56"/>
      <c r="K27" s="56"/>
      <c r="L27" s="57"/>
      <c r="M27" s="57"/>
      <c r="N27" s="57"/>
      <c r="O27" s="58"/>
      <c r="P27" s="58"/>
      <c r="Q27" s="58"/>
      <c r="R27" s="52"/>
    </row>
    <row r="28" spans="1:18" s="45" customFormat="1" ht="25" customHeight="1">
      <c r="A28" s="51"/>
      <c r="B28" s="51" t="s">
        <v>1225</v>
      </c>
      <c r="C28" s="51">
        <v>-0.1</v>
      </c>
      <c r="D28" s="52"/>
      <c r="E28" s="52"/>
      <c r="F28" s="54"/>
      <c r="G28" s="55"/>
      <c r="H28" s="55"/>
      <c r="I28" s="56"/>
      <c r="J28" s="56"/>
      <c r="K28" s="56"/>
      <c r="L28" s="57"/>
      <c r="M28" s="57"/>
      <c r="N28" s="57"/>
      <c r="O28" s="58"/>
      <c r="P28" s="58"/>
      <c r="Q28" s="58"/>
      <c r="R28" s="52"/>
    </row>
    <row r="29" spans="1:18" s="45" customFormat="1" ht="25" customHeight="1">
      <c r="A29" s="51"/>
      <c r="B29" s="51" t="s">
        <v>1228</v>
      </c>
      <c r="C29" s="51">
        <v>-0.1</v>
      </c>
      <c r="D29" s="52"/>
      <c r="E29" s="52"/>
      <c r="F29" s="54"/>
      <c r="G29" s="55"/>
      <c r="H29" s="55"/>
      <c r="I29" s="56"/>
      <c r="J29" s="56"/>
      <c r="K29" s="56"/>
      <c r="L29" s="57"/>
      <c r="M29" s="57"/>
      <c r="N29" s="57"/>
      <c r="O29" s="58"/>
      <c r="P29" s="58"/>
      <c r="Q29" s="58"/>
      <c r="R29" s="52"/>
    </row>
    <row r="30" spans="1:18" ht="24.65" customHeight="1">
      <c r="A30" s="92" t="s">
        <v>1229</v>
      </c>
      <c r="B30" s="94"/>
      <c r="C30" s="94"/>
      <c r="D30" s="94"/>
      <c r="E30" s="94"/>
      <c r="F30" s="94"/>
      <c r="G30" s="94"/>
      <c r="H30" s="94"/>
      <c r="I30" s="93"/>
      <c r="J30" s="61"/>
      <c r="K30" s="62"/>
      <c r="L30" s="61"/>
      <c r="M30" s="61"/>
      <c r="N30" s="62"/>
      <c r="O30" s="62"/>
      <c r="P30" s="62"/>
      <c r="Q30" s="62"/>
      <c r="R30" s="54"/>
    </row>
    <row r="31" spans="1:18" ht="24.65" customHeight="1">
      <c r="A31" s="54">
        <v>1</v>
      </c>
      <c r="B31" s="54" t="s">
        <v>1230</v>
      </c>
      <c r="C31" s="54"/>
      <c r="D31" s="52" t="s">
        <v>1231</v>
      </c>
      <c r="E31" s="52" t="s">
        <v>1232</v>
      </c>
      <c r="F31" s="52"/>
      <c r="G31" s="54">
        <f>G21</f>
        <v>4</v>
      </c>
      <c r="H31" s="92" t="s">
        <v>1233</v>
      </c>
      <c r="I31" s="93"/>
      <c r="J31" s="64">
        <v>0.27900000000000003</v>
      </c>
      <c r="K31" s="65">
        <f t="shared" ref="K31:K39" si="7">J31*G31</f>
        <v>1.1160000000000001</v>
      </c>
      <c r="L31" s="64"/>
      <c r="M31" s="64"/>
      <c r="N31" s="65">
        <f t="shared" ref="N31:N39" si="8">M31*J31</f>
        <v>0</v>
      </c>
      <c r="O31" s="65"/>
      <c r="P31" s="65"/>
      <c r="Q31" s="65"/>
      <c r="R31" s="52" t="s">
        <v>1222</v>
      </c>
    </row>
    <row r="32" spans="1:18" ht="24.65" customHeight="1">
      <c r="A32" s="54">
        <v>2</v>
      </c>
      <c r="B32" s="54" t="s">
        <v>1230</v>
      </c>
      <c r="C32" s="54"/>
      <c r="D32" s="52" t="s">
        <v>1234</v>
      </c>
      <c r="E32" s="52" t="s">
        <v>56</v>
      </c>
      <c r="F32" s="52"/>
      <c r="G32" s="54">
        <f>G31*2</f>
        <v>8</v>
      </c>
      <c r="H32" s="92"/>
      <c r="I32" s="93"/>
      <c r="J32" s="64">
        <v>4.1000000000000002E-2</v>
      </c>
      <c r="K32" s="65">
        <f t="shared" si="7"/>
        <v>0.32800000000000001</v>
      </c>
      <c r="L32" s="64"/>
      <c r="M32" s="64"/>
      <c r="N32" s="65">
        <f t="shared" si="8"/>
        <v>0</v>
      </c>
      <c r="O32" s="65"/>
      <c r="P32" s="65"/>
      <c r="Q32" s="65"/>
      <c r="R32" s="52" t="s">
        <v>1235</v>
      </c>
    </row>
    <row r="33" spans="1:18" ht="24.65" customHeight="1">
      <c r="A33" s="54">
        <v>3</v>
      </c>
      <c r="B33" s="54" t="s">
        <v>1230</v>
      </c>
      <c r="C33" s="54"/>
      <c r="D33" s="52" t="s">
        <v>1236</v>
      </c>
      <c r="E33" s="52" t="s">
        <v>28</v>
      </c>
      <c r="F33" s="52"/>
      <c r="G33" s="54">
        <f>G31</f>
        <v>4</v>
      </c>
      <c r="H33" s="92"/>
      <c r="I33" s="93"/>
      <c r="J33" s="64">
        <v>8.9999999999999993E-3</v>
      </c>
      <c r="K33" s="65">
        <f t="shared" si="7"/>
        <v>3.5999999999999997E-2</v>
      </c>
      <c r="L33" s="64"/>
      <c r="M33" s="64"/>
      <c r="N33" s="65">
        <f t="shared" si="8"/>
        <v>0</v>
      </c>
      <c r="O33" s="65"/>
      <c r="P33" s="65"/>
      <c r="Q33" s="65"/>
      <c r="R33" s="52" t="s">
        <v>1235</v>
      </c>
    </row>
    <row r="34" spans="1:18" ht="24.65" customHeight="1">
      <c r="A34" s="54">
        <v>4</v>
      </c>
      <c r="B34" s="54" t="s">
        <v>1230</v>
      </c>
      <c r="C34" s="54"/>
      <c r="D34" s="52" t="s">
        <v>1237</v>
      </c>
      <c r="E34" s="52" t="s">
        <v>1238</v>
      </c>
      <c r="F34" s="52"/>
      <c r="G34" s="54">
        <f>G31</f>
        <v>4</v>
      </c>
      <c r="H34" s="92"/>
      <c r="I34" s="93"/>
      <c r="J34" s="64">
        <v>3.9600000000000003E-2</v>
      </c>
      <c r="K34" s="65">
        <f t="shared" si="7"/>
        <v>0.15840000000000001</v>
      </c>
      <c r="L34" s="64"/>
      <c r="M34" s="64"/>
      <c r="N34" s="65">
        <f t="shared" si="8"/>
        <v>0</v>
      </c>
      <c r="O34" s="65"/>
      <c r="P34" s="65"/>
      <c r="Q34" s="65"/>
      <c r="R34" s="52" t="s">
        <v>1239</v>
      </c>
    </row>
    <row r="35" spans="1:18" ht="43.5" customHeight="1">
      <c r="A35" s="54">
        <v>5</v>
      </c>
      <c r="B35" s="54" t="s">
        <v>1230</v>
      </c>
      <c r="C35" s="54"/>
      <c r="D35" s="52" t="s">
        <v>1240</v>
      </c>
      <c r="E35" s="52" t="s">
        <v>1241</v>
      </c>
      <c r="F35" s="54"/>
      <c r="G35" s="55">
        <f>G4*6</f>
        <v>24</v>
      </c>
      <c r="H35" s="92" t="s">
        <v>1242</v>
      </c>
      <c r="I35" s="93"/>
      <c r="J35" s="64">
        <v>0.10299999999999999</v>
      </c>
      <c r="K35" s="65">
        <f t="shared" si="7"/>
        <v>2.472</v>
      </c>
      <c r="L35" s="64"/>
      <c r="M35" s="64"/>
      <c r="N35" s="65">
        <f t="shared" si="8"/>
        <v>0</v>
      </c>
      <c r="O35" s="65"/>
      <c r="P35" s="65"/>
      <c r="Q35" s="65"/>
      <c r="R35" s="52" t="s">
        <v>1222</v>
      </c>
    </row>
    <row r="36" spans="1:18" ht="25" customHeight="1">
      <c r="A36" s="54">
        <v>6</v>
      </c>
      <c r="B36" s="54" t="s">
        <v>1230</v>
      </c>
      <c r="C36" s="54"/>
      <c r="D36" s="52" t="s">
        <v>1243</v>
      </c>
      <c r="E36" s="52" t="s">
        <v>56</v>
      </c>
      <c r="F36" s="54"/>
      <c r="G36" s="55">
        <f>G35*2</f>
        <v>48</v>
      </c>
      <c r="H36" s="95"/>
      <c r="I36" s="96"/>
      <c r="J36" s="64">
        <v>3.2000000000000001E-2</v>
      </c>
      <c r="K36" s="65">
        <f t="shared" si="7"/>
        <v>1.536</v>
      </c>
      <c r="L36" s="64"/>
      <c r="M36" s="64"/>
      <c r="N36" s="65">
        <f t="shared" si="8"/>
        <v>0</v>
      </c>
      <c r="O36" s="65"/>
      <c r="P36" s="65"/>
      <c r="Q36" s="65"/>
      <c r="R36" s="52" t="s">
        <v>1222</v>
      </c>
    </row>
    <row r="37" spans="1:18" ht="25" customHeight="1">
      <c r="A37" s="54">
        <v>7</v>
      </c>
      <c r="B37" s="54" t="s">
        <v>1230</v>
      </c>
      <c r="C37" s="54"/>
      <c r="D37" s="52" t="s">
        <v>1244</v>
      </c>
      <c r="E37" s="52" t="s">
        <v>28</v>
      </c>
      <c r="F37" s="54"/>
      <c r="G37" s="55">
        <f>G35</f>
        <v>24</v>
      </c>
      <c r="H37" s="95"/>
      <c r="I37" s="96"/>
      <c r="J37" s="64">
        <v>6.0000000000000001E-3</v>
      </c>
      <c r="K37" s="65">
        <f t="shared" si="7"/>
        <v>0.14400000000000002</v>
      </c>
      <c r="L37" s="64"/>
      <c r="M37" s="64"/>
      <c r="N37" s="65">
        <f t="shared" si="8"/>
        <v>0</v>
      </c>
      <c r="O37" s="65"/>
      <c r="P37" s="65"/>
      <c r="Q37" s="65"/>
      <c r="R37" s="52" t="s">
        <v>1222</v>
      </c>
    </row>
    <row r="38" spans="1:18" ht="25" customHeight="1">
      <c r="A38" s="54">
        <v>8</v>
      </c>
      <c r="B38" s="54" t="s">
        <v>1230</v>
      </c>
      <c r="C38" s="54"/>
      <c r="D38" s="52" t="s">
        <v>1245</v>
      </c>
      <c r="E38" s="52" t="s">
        <v>1238</v>
      </c>
      <c r="F38" s="54"/>
      <c r="G38" s="55">
        <f>G37+G19*2</f>
        <v>32</v>
      </c>
      <c r="H38" s="95"/>
      <c r="I38" s="96"/>
      <c r="J38" s="64">
        <v>2.12E-2</v>
      </c>
      <c r="K38" s="65">
        <f t="shared" si="7"/>
        <v>0.6784</v>
      </c>
      <c r="L38" s="64"/>
      <c r="M38" s="64"/>
      <c r="N38" s="65">
        <f t="shared" si="8"/>
        <v>0</v>
      </c>
      <c r="O38" s="65"/>
      <c r="P38" s="65"/>
      <c r="Q38" s="65"/>
      <c r="R38" s="52" t="s">
        <v>1222</v>
      </c>
    </row>
    <row r="39" spans="1:18" ht="25" customHeight="1">
      <c r="A39" s="54">
        <v>9</v>
      </c>
      <c r="B39" s="54" t="s">
        <v>1230</v>
      </c>
      <c r="C39" s="54"/>
      <c r="D39" s="52" t="s">
        <v>1246</v>
      </c>
      <c r="E39" s="52" t="s">
        <v>1247</v>
      </c>
      <c r="F39" s="54"/>
      <c r="G39" s="55">
        <f>G24*2</f>
        <v>8</v>
      </c>
      <c r="H39" s="92" t="s">
        <v>1248</v>
      </c>
      <c r="I39" s="93"/>
      <c r="J39" s="64">
        <v>6.8000000000000005E-2</v>
      </c>
      <c r="K39" s="65">
        <f t="shared" si="7"/>
        <v>0.54400000000000004</v>
      </c>
      <c r="L39" s="64"/>
      <c r="M39" s="64"/>
      <c r="N39" s="65">
        <f t="shared" si="8"/>
        <v>0</v>
      </c>
      <c r="O39" s="65"/>
      <c r="P39" s="65"/>
      <c r="Q39" s="65"/>
      <c r="R39" s="52" t="s">
        <v>1222</v>
      </c>
    </row>
    <row r="40" spans="1:18" ht="25" customHeight="1">
      <c r="A40" s="54"/>
      <c r="B40" s="54" t="s">
        <v>1230</v>
      </c>
      <c r="C40" s="54"/>
      <c r="D40" s="52" t="s">
        <v>1249</v>
      </c>
      <c r="E40" s="52"/>
      <c r="F40" s="54"/>
      <c r="G40" s="55"/>
      <c r="H40" s="59"/>
      <c r="I40" s="60"/>
      <c r="J40" s="64"/>
      <c r="K40" s="65"/>
      <c r="L40" s="64"/>
      <c r="M40" s="64"/>
      <c r="N40" s="65"/>
      <c r="O40" s="65"/>
      <c r="P40" s="65"/>
      <c r="Q40" s="65"/>
      <c r="R40" s="52"/>
    </row>
    <row r="41" spans="1:18" ht="25" customHeight="1">
      <c r="A41" s="54"/>
      <c r="B41" s="54" t="s">
        <v>1230</v>
      </c>
      <c r="C41" s="54"/>
      <c r="D41" s="52" t="s">
        <v>1250</v>
      </c>
      <c r="E41" s="52"/>
      <c r="F41" s="54"/>
      <c r="G41" s="55"/>
      <c r="H41" s="59"/>
      <c r="I41" s="60"/>
      <c r="J41" s="64"/>
      <c r="K41" s="65"/>
      <c r="L41" s="64"/>
      <c r="M41" s="64"/>
      <c r="N41" s="65"/>
      <c r="O41" s="65"/>
      <c r="P41" s="65"/>
      <c r="Q41" s="65"/>
      <c r="R41" s="52"/>
    </row>
    <row r="42" spans="1:18" ht="25" customHeight="1">
      <c r="A42" s="54"/>
      <c r="B42" s="54" t="s">
        <v>1230</v>
      </c>
      <c r="C42" s="54"/>
      <c r="D42" s="52" t="s">
        <v>1251</v>
      </c>
      <c r="E42" s="52"/>
      <c r="F42" s="54"/>
      <c r="G42" s="55"/>
      <c r="H42" s="59"/>
      <c r="I42" s="60"/>
      <c r="J42" s="64"/>
      <c r="K42" s="65"/>
      <c r="L42" s="64"/>
      <c r="M42" s="64"/>
      <c r="N42" s="65"/>
      <c r="O42" s="65"/>
      <c r="P42" s="65"/>
      <c r="Q42" s="65"/>
      <c r="R42" s="52"/>
    </row>
    <row r="43" spans="1:18" ht="45.75" customHeight="1">
      <c r="A43" s="54">
        <v>10</v>
      </c>
      <c r="B43" s="54" t="s">
        <v>1230</v>
      </c>
      <c r="C43" s="54"/>
      <c r="D43" s="52" t="s">
        <v>1252</v>
      </c>
      <c r="E43" s="52" t="s">
        <v>1247</v>
      </c>
      <c r="F43" s="54"/>
      <c r="G43" s="55">
        <f>G21*2+G23</f>
        <v>12</v>
      </c>
      <c r="H43" s="92" t="s">
        <v>1253</v>
      </c>
      <c r="I43" s="93"/>
      <c r="J43" s="64">
        <v>4.7E-2</v>
      </c>
      <c r="K43" s="65">
        <f t="shared" ref="K43:K57" si="9">J43*G43</f>
        <v>0.56400000000000006</v>
      </c>
      <c r="L43" s="64"/>
      <c r="M43" s="64"/>
      <c r="N43" s="65">
        <f t="shared" ref="N43:N57" si="10">M43*J43</f>
        <v>0</v>
      </c>
      <c r="O43" s="65"/>
      <c r="P43" s="65"/>
      <c r="Q43" s="65"/>
      <c r="R43" s="52"/>
    </row>
    <row r="44" spans="1:18" ht="25" customHeight="1">
      <c r="A44" s="54">
        <v>11</v>
      </c>
      <c r="B44" s="54" t="s">
        <v>1230</v>
      </c>
      <c r="C44" s="54"/>
      <c r="D44" s="52" t="s">
        <v>1249</v>
      </c>
      <c r="E44" s="52" t="s">
        <v>56</v>
      </c>
      <c r="F44" s="54"/>
      <c r="G44" s="55">
        <f>SUM(G39:G43)*2+G22*2</f>
        <v>44</v>
      </c>
      <c r="H44" s="92"/>
      <c r="I44" s="93"/>
      <c r="J44" s="64">
        <v>6.3E-3</v>
      </c>
      <c r="K44" s="65">
        <f t="shared" si="9"/>
        <v>0.2772</v>
      </c>
      <c r="L44" s="64"/>
      <c r="M44" s="64"/>
      <c r="N44" s="65">
        <f t="shared" si="10"/>
        <v>0</v>
      </c>
      <c r="O44" s="65"/>
      <c r="P44" s="65"/>
      <c r="Q44" s="65"/>
      <c r="R44" s="52" t="s">
        <v>1222</v>
      </c>
    </row>
    <row r="45" spans="1:18" ht="25" customHeight="1">
      <c r="A45" s="54">
        <v>12</v>
      </c>
      <c r="B45" s="54" t="s">
        <v>1230</v>
      </c>
      <c r="C45" s="54"/>
      <c r="D45" s="52" t="s">
        <v>1250</v>
      </c>
      <c r="E45" s="52" t="s">
        <v>28</v>
      </c>
      <c r="F45" s="54"/>
      <c r="G45" s="55">
        <f>SUM(G39:G43)+G22*2</f>
        <v>24</v>
      </c>
      <c r="H45" s="92"/>
      <c r="I45" s="93"/>
      <c r="J45" s="64">
        <v>2.1999999999999999E-2</v>
      </c>
      <c r="K45" s="65">
        <f t="shared" si="9"/>
        <v>0.52800000000000002</v>
      </c>
      <c r="L45" s="64"/>
      <c r="M45" s="64"/>
      <c r="N45" s="65">
        <f t="shared" si="10"/>
        <v>0</v>
      </c>
      <c r="O45" s="65"/>
      <c r="P45" s="65"/>
      <c r="Q45" s="65"/>
      <c r="R45" s="52" t="s">
        <v>1222</v>
      </c>
    </row>
    <row r="46" spans="1:18" ht="25" customHeight="1">
      <c r="A46" s="54">
        <v>13</v>
      </c>
      <c r="B46" s="54" t="s">
        <v>1230</v>
      </c>
      <c r="C46" s="54"/>
      <c r="D46" s="52" t="s">
        <v>1251</v>
      </c>
      <c r="E46" s="52" t="s">
        <v>1238</v>
      </c>
      <c r="F46" s="54"/>
      <c r="G46" s="55">
        <f>G45+G22*4+G24*2</f>
        <v>40</v>
      </c>
      <c r="H46" s="92"/>
      <c r="I46" s="93"/>
      <c r="J46" s="64">
        <v>1.37E-2</v>
      </c>
      <c r="K46" s="65">
        <f t="shared" si="9"/>
        <v>0.54800000000000004</v>
      </c>
      <c r="L46" s="64"/>
      <c r="M46" s="64"/>
      <c r="N46" s="65">
        <f t="shared" si="10"/>
        <v>0</v>
      </c>
      <c r="O46" s="65"/>
      <c r="P46" s="65"/>
      <c r="Q46" s="65"/>
      <c r="R46" s="52" t="s">
        <v>1222</v>
      </c>
    </row>
    <row r="47" spans="1:18" ht="39.75" customHeight="1">
      <c r="A47" s="54">
        <v>14</v>
      </c>
      <c r="B47" s="54" t="s">
        <v>1230</v>
      </c>
      <c r="C47" s="54"/>
      <c r="D47" s="52" t="s">
        <v>1254</v>
      </c>
      <c r="E47" s="52" t="s">
        <v>1255</v>
      </c>
      <c r="F47" s="54"/>
      <c r="G47" s="55">
        <f>G12*2+G13*12</f>
        <v>80</v>
      </c>
      <c r="H47" s="92" t="s">
        <v>1256</v>
      </c>
      <c r="I47" s="93"/>
      <c r="J47" s="64">
        <v>2.9000000000000001E-2</v>
      </c>
      <c r="K47" s="65">
        <f t="shared" si="9"/>
        <v>2.3200000000000003</v>
      </c>
      <c r="L47" s="64"/>
      <c r="M47" s="64"/>
      <c r="N47" s="65">
        <f t="shared" si="10"/>
        <v>0</v>
      </c>
      <c r="O47" s="65"/>
      <c r="P47" s="65"/>
      <c r="Q47" s="65"/>
      <c r="R47" s="52" t="s">
        <v>1222</v>
      </c>
    </row>
    <row r="48" spans="1:18" ht="24.75" customHeight="1">
      <c r="A48" s="54">
        <v>15</v>
      </c>
      <c r="B48" s="54" t="s">
        <v>1230</v>
      </c>
      <c r="C48" s="54"/>
      <c r="D48" s="52" t="s">
        <v>1257</v>
      </c>
      <c r="E48" s="52" t="s">
        <v>56</v>
      </c>
      <c r="F48" s="66"/>
      <c r="G48" s="55">
        <f>G47*2</f>
        <v>160</v>
      </c>
      <c r="H48" s="92"/>
      <c r="I48" s="93"/>
      <c r="J48" s="64">
        <v>1.2E-2</v>
      </c>
      <c r="K48" s="65">
        <f t="shared" si="9"/>
        <v>1.92</v>
      </c>
      <c r="L48" s="64"/>
      <c r="M48" s="64"/>
      <c r="N48" s="65">
        <f t="shared" si="10"/>
        <v>0</v>
      </c>
      <c r="O48" s="65"/>
      <c r="P48" s="65"/>
      <c r="Q48" s="65"/>
      <c r="R48" s="52" t="s">
        <v>1222</v>
      </c>
    </row>
    <row r="49" spans="1:18" ht="25" customHeight="1">
      <c r="A49" s="54">
        <v>16</v>
      </c>
      <c r="B49" s="54" t="s">
        <v>1230</v>
      </c>
      <c r="C49" s="54"/>
      <c r="D49" s="52" t="s">
        <v>1258</v>
      </c>
      <c r="E49" s="52" t="s">
        <v>28</v>
      </c>
      <c r="F49" s="66"/>
      <c r="G49" s="55">
        <f>G47+G19*2+G18*2</f>
        <v>108</v>
      </c>
      <c r="H49" s="92"/>
      <c r="I49" s="93"/>
      <c r="J49" s="64">
        <v>2.3E-3</v>
      </c>
      <c r="K49" s="65">
        <f t="shared" si="9"/>
        <v>0.24840000000000001</v>
      </c>
      <c r="L49" s="64"/>
      <c r="M49" s="64"/>
      <c r="N49" s="65">
        <f t="shared" si="10"/>
        <v>0</v>
      </c>
      <c r="O49" s="65"/>
      <c r="P49" s="65"/>
      <c r="Q49" s="65"/>
      <c r="R49" s="52" t="s">
        <v>1222</v>
      </c>
    </row>
    <row r="50" spans="1:18" ht="25" customHeight="1">
      <c r="A50" s="54">
        <v>17</v>
      </c>
      <c r="B50" s="54" t="s">
        <v>1230</v>
      </c>
      <c r="C50" s="54"/>
      <c r="D50" s="52" t="s">
        <v>1259</v>
      </c>
      <c r="E50" s="52" t="s">
        <v>1238</v>
      </c>
      <c r="F50" s="66"/>
      <c r="G50" s="55">
        <f>G47+G14*4+G19*2+G18*4</f>
        <v>176</v>
      </c>
      <c r="H50" s="92"/>
      <c r="I50" s="93"/>
      <c r="J50" s="64">
        <v>9.4999999999999998E-3</v>
      </c>
      <c r="K50" s="65">
        <f t="shared" si="9"/>
        <v>1.6719999999999999</v>
      </c>
      <c r="L50" s="64"/>
      <c r="M50" s="64"/>
      <c r="N50" s="65">
        <f t="shared" si="10"/>
        <v>0</v>
      </c>
      <c r="O50" s="65"/>
      <c r="P50" s="65"/>
      <c r="Q50" s="65"/>
      <c r="R50" s="52" t="s">
        <v>1222</v>
      </c>
    </row>
    <row r="51" spans="1:18" ht="25" customHeight="1">
      <c r="A51" s="54">
        <v>18</v>
      </c>
      <c r="B51" s="54" t="s">
        <v>1230</v>
      </c>
      <c r="C51" s="54"/>
      <c r="D51" s="52" t="s">
        <v>1260</v>
      </c>
      <c r="E51" s="52" t="s">
        <v>57</v>
      </c>
      <c r="F51" s="54" t="s">
        <v>35</v>
      </c>
      <c r="G51" s="55">
        <f>LEFT(E60,1)*RIGHT(E60,2)*4</f>
        <v>112</v>
      </c>
      <c r="H51" s="92" t="s">
        <v>1261</v>
      </c>
      <c r="I51" s="93"/>
      <c r="J51" s="64">
        <v>1.55E-2</v>
      </c>
      <c r="K51" s="65">
        <f t="shared" si="9"/>
        <v>1.736</v>
      </c>
      <c r="L51" s="64"/>
      <c r="M51" s="64"/>
      <c r="N51" s="65">
        <f t="shared" si="10"/>
        <v>0</v>
      </c>
      <c r="O51" s="65"/>
      <c r="P51" s="65"/>
      <c r="Q51" s="65"/>
      <c r="R51" s="52"/>
    </row>
    <row r="52" spans="1:18" ht="25" customHeight="1">
      <c r="A52" s="54">
        <v>19</v>
      </c>
      <c r="B52" s="54" t="s">
        <v>1230</v>
      </c>
      <c r="C52" s="54"/>
      <c r="D52" s="52" t="s">
        <v>1262</v>
      </c>
      <c r="E52" s="52" t="s">
        <v>32</v>
      </c>
      <c r="F52" s="54" t="s">
        <v>35</v>
      </c>
      <c r="G52" s="55">
        <f>G51</f>
        <v>112</v>
      </c>
      <c r="H52" s="92"/>
      <c r="I52" s="93"/>
      <c r="J52" s="64">
        <v>6.3E-3</v>
      </c>
      <c r="K52" s="65">
        <f t="shared" si="9"/>
        <v>0.7056</v>
      </c>
      <c r="L52" s="64"/>
      <c r="M52" s="64"/>
      <c r="N52" s="65">
        <f t="shared" si="10"/>
        <v>0</v>
      </c>
      <c r="O52" s="65"/>
      <c r="P52" s="65"/>
      <c r="Q52" s="65"/>
      <c r="R52" s="52"/>
    </row>
    <row r="53" spans="1:18" ht="25" customHeight="1">
      <c r="A53" s="54">
        <v>20</v>
      </c>
      <c r="B53" s="54" t="s">
        <v>1230</v>
      </c>
      <c r="C53" s="54"/>
      <c r="D53" s="52" t="s">
        <v>1263</v>
      </c>
      <c r="E53" s="52" t="s">
        <v>33</v>
      </c>
      <c r="F53" s="54" t="s">
        <v>35</v>
      </c>
      <c r="G53" s="55">
        <f>G52</f>
        <v>112</v>
      </c>
      <c r="H53" s="92"/>
      <c r="I53" s="93"/>
      <c r="J53" s="64">
        <v>1.1999999999999999E-3</v>
      </c>
      <c r="K53" s="65">
        <f t="shared" si="9"/>
        <v>0.13439999999999999</v>
      </c>
      <c r="L53" s="64"/>
      <c r="M53" s="64"/>
      <c r="N53" s="65">
        <f t="shared" si="10"/>
        <v>0</v>
      </c>
      <c r="O53" s="65"/>
      <c r="P53" s="65"/>
      <c r="Q53" s="65"/>
      <c r="R53" s="52"/>
    </row>
    <row r="54" spans="1:18" ht="25" customHeight="1">
      <c r="A54" s="54">
        <v>21</v>
      </c>
      <c r="B54" s="54" t="s">
        <v>1230</v>
      </c>
      <c r="C54" s="54"/>
      <c r="D54" s="52" t="s">
        <v>1264</v>
      </c>
      <c r="E54" s="52" t="s">
        <v>34</v>
      </c>
      <c r="F54" s="54" t="s">
        <v>35</v>
      </c>
      <c r="G54" s="55">
        <f>G51*2</f>
        <v>224</v>
      </c>
      <c r="H54" s="92"/>
      <c r="I54" s="93"/>
      <c r="J54" s="64">
        <v>4.1999999999999997E-3</v>
      </c>
      <c r="K54" s="65">
        <f t="shared" si="9"/>
        <v>0.94079999999999997</v>
      </c>
      <c r="L54" s="64"/>
      <c r="M54" s="64"/>
      <c r="N54" s="65">
        <f t="shared" si="10"/>
        <v>0</v>
      </c>
      <c r="O54" s="65"/>
      <c r="P54" s="65"/>
      <c r="Q54" s="65"/>
      <c r="R54" s="52"/>
    </row>
    <row r="55" spans="1:18" ht="25" customHeight="1">
      <c r="A55" s="54">
        <v>22</v>
      </c>
      <c r="B55" s="54" t="s">
        <v>1230</v>
      </c>
      <c r="C55" s="54"/>
      <c r="D55" s="52" t="s">
        <v>1262</v>
      </c>
      <c r="E55" s="52" t="s">
        <v>59</v>
      </c>
      <c r="F55" s="54"/>
      <c r="G55" s="55">
        <f>(SUM(G14:G17)+G10)*2</f>
        <v>70</v>
      </c>
      <c r="H55" s="98" t="s">
        <v>1265</v>
      </c>
      <c r="I55" s="99"/>
      <c r="J55" s="64">
        <v>6.3E-3</v>
      </c>
      <c r="K55" s="65">
        <f t="shared" si="9"/>
        <v>0.441</v>
      </c>
      <c r="L55" s="64"/>
      <c r="M55" s="64"/>
      <c r="N55" s="65">
        <f t="shared" si="10"/>
        <v>0</v>
      </c>
      <c r="O55" s="65"/>
      <c r="P55" s="65"/>
      <c r="Q55" s="65"/>
      <c r="R55" s="52" t="s">
        <v>1266</v>
      </c>
    </row>
    <row r="56" spans="1:18" ht="25" customHeight="1">
      <c r="A56" s="54">
        <v>23</v>
      </c>
      <c r="B56" s="54" t="s">
        <v>1230</v>
      </c>
      <c r="C56" s="54"/>
      <c r="D56" s="52" t="s">
        <v>1263</v>
      </c>
      <c r="E56" s="52" t="s">
        <v>60</v>
      </c>
      <c r="F56" s="54"/>
      <c r="G56" s="55">
        <f>(SUM(G14:G17)+G10)*2</f>
        <v>70</v>
      </c>
      <c r="H56" s="100"/>
      <c r="I56" s="101"/>
      <c r="J56" s="64">
        <v>1.1999999999999999E-3</v>
      </c>
      <c r="K56" s="65">
        <f t="shared" si="9"/>
        <v>8.3999999999999991E-2</v>
      </c>
      <c r="L56" s="64"/>
      <c r="M56" s="64"/>
      <c r="N56" s="65">
        <f t="shared" si="10"/>
        <v>0</v>
      </c>
      <c r="O56" s="65"/>
      <c r="P56" s="65"/>
      <c r="Q56" s="65"/>
      <c r="R56" s="52" t="s">
        <v>1266</v>
      </c>
    </row>
    <row r="57" spans="1:18" ht="25" customHeight="1">
      <c r="A57" s="54">
        <v>24</v>
      </c>
      <c r="B57" s="54" t="s">
        <v>1230</v>
      </c>
      <c r="C57" s="54"/>
      <c r="D57" s="52" t="s">
        <v>1264</v>
      </c>
      <c r="E57" s="52" t="s">
        <v>1267</v>
      </c>
      <c r="F57" s="54"/>
      <c r="G57" s="55">
        <f>(SUM(G14:G17)+G10)*4</f>
        <v>140</v>
      </c>
      <c r="H57" s="102"/>
      <c r="I57" s="103"/>
      <c r="J57" s="64">
        <v>4.1999999999999997E-3</v>
      </c>
      <c r="K57" s="65">
        <f t="shared" si="9"/>
        <v>0.58799999999999997</v>
      </c>
      <c r="L57" s="64"/>
      <c r="M57" s="64"/>
      <c r="N57" s="65">
        <f t="shared" si="10"/>
        <v>0</v>
      </c>
      <c r="O57" s="65"/>
      <c r="P57" s="65"/>
      <c r="Q57" s="65"/>
      <c r="R57" s="52" t="s">
        <v>1266</v>
      </c>
    </row>
    <row r="58" spans="1:18" ht="25" customHeight="1" thickBot="1">
      <c r="E58" s="67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7"/>
    </row>
    <row r="59" spans="1:18" ht="25" customHeight="1">
      <c r="D59" s="104" t="s">
        <v>1268</v>
      </c>
      <c r="E59" s="105"/>
      <c r="F59" s="106"/>
      <c r="H59" s="87" t="s">
        <v>1269</v>
      </c>
      <c r="I59" s="88"/>
      <c r="J59" s="88"/>
      <c r="K59" s="89"/>
      <c r="L59" s="63"/>
      <c r="M59" s="63"/>
      <c r="N59" s="63"/>
      <c r="O59" s="63"/>
      <c r="P59" s="63"/>
      <c r="Q59" s="63"/>
      <c r="R59" s="67"/>
    </row>
    <row r="60" spans="1:18" ht="25" customHeight="1">
      <c r="D60" s="78" t="s">
        <v>1270</v>
      </c>
      <c r="E60" s="54" t="s">
        <v>58</v>
      </c>
      <c r="F60" s="70"/>
      <c r="H60" s="69" t="s">
        <v>1270</v>
      </c>
      <c r="I60" s="85" t="str">
        <f>E60</f>
        <v>2x14</v>
      </c>
      <c r="J60" s="85"/>
      <c r="K60" s="70"/>
    </row>
    <row r="61" spans="1:18" ht="25" customHeight="1">
      <c r="D61" s="78" t="s">
        <v>1271</v>
      </c>
      <c r="E61" s="54">
        <f>LEFT(E60,1)*RIGHT(E60,2)*E63/1000</f>
        <v>15.4</v>
      </c>
      <c r="F61" s="70" t="s">
        <v>36</v>
      </c>
      <c r="H61" s="69" t="s">
        <v>1271</v>
      </c>
      <c r="I61" s="85">
        <f>LEFT(I60,1)*RIGHT(I60,2)*I63/1000</f>
        <v>15.4</v>
      </c>
      <c r="J61" s="85"/>
      <c r="K61" s="70" t="s">
        <v>36</v>
      </c>
    </row>
    <row r="62" spans="1:18" ht="25" customHeight="1">
      <c r="D62" s="78" t="s">
        <v>1272</v>
      </c>
      <c r="E62" s="65">
        <f>SUM(K3:K57)</f>
        <v>570.45615339999983</v>
      </c>
      <c r="F62" s="70" t="s">
        <v>7</v>
      </c>
      <c r="H62" s="69" t="s">
        <v>1272</v>
      </c>
      <c r="I62" s="107">
        <f>SUM(O3:O57)</f>
        <v>0</v>
      </c>
      <c r="J62" s="107"/>
      <c r="K62" s="70" t="s">
        <v>7</v>
      </c>
    </row>
    <row r="63" spans="1:18" ht="25" customHeight="1">
      <c r="D63" s="78" t="s">
        <v>1273</v>
      </c>
      <c r="E63" s="54">
        <v>550</v>
      </c>
      <c r="F63" s="70" t="s">
        <v>27</v>
      </c>
      <c r="H63" s="69" t="s">
        <v>1273</v>
      </c>
      <c r="I63" s="85">
        <v>550</v>
      </c>
      <c r="J63" s="85"/>
      <c r="K63" s="70" t="s">
        <v>27</v>
      </c>
    </row>
    <row r="64" spans="1:18" ht="25" customHeight="1">
      <c r="D64" s="78" t="s">
        <v>1274</v>
      </c>
      <c r="E64" s="71">
        <f>E62/E61</f>
        <v>37.04260736363635</v>
      </c>
      <c r="F64" s="70" t="s">
        <v>37</v>
      </c>
      <c r="H64" s="69" t="s">
        <v>1274</v>
      </c>
      <c r="I64" s="97">
        <f>I62/I61</f>
        <v>0</v>
      </c>
      <c r="J64" s="97"/>
      <c r="K64" s="70" t="s">
        <v>37</v>
      </c>
    </row>
    <row r="65" spans="4:11" ht="25" customHeight="1">
      <c r="D65" s="78" t="s">
        <v>1275</v>
      </c>
      <c r="E65" s="54"/>
      <c r="F65" s="72" t="s">
        <v>1276</v>
      </c>
      <c r="G65" s="73"/>
      <c r="H65" s="69" t="s">
        <v>1275</v>
      </c>
      <c r="I65" s="85"/>
      <c r="J65" s="85"/>
      <c r="K65" s="72" t="s">
        <v>1276</v>
      </c>
    </row>
    <row r="66" spans="4:11" ht="26.65" customHeight="1" thickBot="1">
      <c r="D66" s="79" t="s">
        <v>1277</v>
      </c>
      <c r="E66" s="75"/>
      <c r="F66" s="76" t="s">
        <v>1278</v>
      </c>
      <c r="H66" s="74" t="s">
        <v>1277</v>
      </c>
      <c r="I66" s="86"/>
      <c r="J66" s="86"/>
      <c r="K66" s="76" t="s">
        <v>1278</v>
      </c>
    </row>
  </sheetData>
  <mergeCells count="33">
    <mergeCell ref="I63:J63"/>
    <mergeCell ref="I64:J64"/>
    <mergeCell ref="H55:I57"/>
    <mergeCell ref="D59:F59"/>
    <mergeCell ref="I60:J60"/>
    <mergeCell ref="I61:J61"/>
    <mergeCell ref="I62:J62"/>
    <mergeCell ref="H50:I50"/>
    <mergeCell ref="H51:I51"/>
    <mergeCell ref="H52:I52"/>
    <mergeCell ref="H53:I53"/>
    <mergeCell ref="H54:I54"/>
    <mergeCell ref="H31:I31"/>
    <mergeCell ref="H33:I33"/>
    <mergeCell ref="H34:I34"/>
    <mergeCell ref="H43:I43"/>
    <mergeCell ref="H49:I49"/>
    <mergeCell ref="I65:J65"/>
    <mergeCell ref="I66:J66"/>
    <mergeCell ref="H59:K59"/>
    <mergeCell ref="D4:D5"/>
    <mergeCell ref="H48:I48"/>
    <mergeCell ref="A30:I30"/>
    <mergeCell ref="H35:I35"/>
    <mergeCell ref="H32:I32"/>
    <mergeCell ref="H36:I36"/>
    <mergeCell ref="H37:I37"/>
    <mergeCell ref="H38:I38"/>
    <mergeCell ref="H39:I39"/>
    <mergeCell ref="H44:I44"/>
    <mergeCell ref="H45:I45"/>
    <mergeCell ref="H46:I46"/>
    <mergeCell ref="H47:I47"/>
  </mergeCells>
  <phoneticPr fontId="4" type="noConversion"/>
  <conditionalFormatting sqref="F48:F50">
    <cfRule type="expression" dxfId="0" priority="1">
      <formula>FIND("Q345",#REF!,1)</formula>
    </cfRule>
  </conditionalFormatting>
  <dataValidations count="1">
    <dataValidation type="list" allowBlank="1" showInputMessage="1" sqref="C3:C29" xr:uid="{CEA53EF3-CEA2-4918-96EB-F70AD32380FA}">
      <formula1>"-0.025,-0.05,-0.10,-0.15,-0.20,-0.25,-0.30,-0.40,-0.50,Φ7.0,Φ8.8,Φ10.8"</formula1>
    </dataValidation>
  </dataValidations>
  <pageMargins left="0.39370078740157499" right="0.39370078740157499" top="0.74803149606299202" bottom="0.74803149606299202" header="0.31496062992126" footer="0.31496062992126"/>
  <pageSetup paperSize="9" scale="63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16AFCB-F9D2-42D2-A2D3-146F4885B986}">
          <x14:formula1>
            <xm:f>Resource!$A$2:$A$19</xm:f>
          </x14:formula1>
          <xm:sqref>B3:B29</xm:sqref>
        </x14:dataValidation>
        <x14:dataValidation type="list" allowBlank="1" showInputMessage="1" showErrorMessage="1" xr:uid="{AFF00268-BCF5-437C-AD7B-A572E1DFCB9F}">
          <x14:formula1>
            <xm:f>Resource!$B$2:$B$15</xm:f>
          </x14:formula1>
          <xm:sqref>R3:R57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6CA73-9A1E-4EEF-AEF8-4BE54BAFC2B1}">
  <sheetPr codeName="Sheet3"/>
  <dimension ref="A1:G19"/>
  <sheetViews>
    <sheetView workbookViewId="0">
      <selection activeCell="H12" sqref="H12"/>
    </sheetView>
  </sheetViews>
  <sheetFormatPr defaultColWidth="9.08203125" defaultRowHeight="14"/>
  <cols>
    <col min="1" max="1" width="15.4140625" style="82" customWidth="1"/>
    <col min="2" max="2" width="33.5" style="82" customWidth="1"/>
    <col min="3" max="3" width="11.75" style="82" customWidth="1"/>
    <col min="4" max="4" width="12.9140625" style="82" bestFit="1" customWidth="1"/>
    <col min="5" max="7" width="12.33203125" style="80" bestFit="1" customWidth="1"/>
    <col min="8" max="16384" width="9.08203125" style="80"/>
  </cols>
  <sheetData>
    <row r="1" spans="1:7">
      <c r="A1" s="111" t="s">
        <v>1322</v>
      </c>
      <c r="B1" s="81" t="s">
        <v>1280</v>
      </c>
      <c r="C1" s="81" t="s">
        <v>1281</v>
      </c>
      <c r="D1" s="81" t="s">
        <v>1323</v>
      </c>
      <c r="E1" s="112" t="s">
        <v>1324</v>
      </c>
      <c r="F1" s="112" t="s">
        <v>1325</v>
      </c>
      <c r="G1" s="112" t="s">
        <v>1326</v>
      </c>
    </row>
    <row r="2" spans="1:7">
      <c r="A2" s="82" t="s">
        <v>1282</v>
      </c>
      <c r="B2" s="82" t="s">
        <v>66</v>
      </c>
      <c r="C2" s="82">
        <v>-2.5000000000000001E-2</v>
      </c>
      <c r="D2" s="82" t="s">
        <v>1282</v>
      </c>
    </row>
    <row r="3" spans="1:7">
      <c r="A3" s="82" t="s">
        <v>1283</v>
      </c>
      <c r="B3" s="82" t="s">
        <v>67</v>
      </c>
      <c r="C3" s="83">
        <v>-0.05</v>
      </c>
      <c r="D3" s="83" t="s">
        <v>1283</v>
      </c>
    </row>
    <row r="4" spans="1:7">
      <c r="A4" s="82" t="s">
        <v>1284</v>
      </c>
      <c r="B4" s="82" t="s">
        <v>68</v>
      </c>
      <c r="C4" s="83">
        <v>-0.1</v>
      </c>
      <c r="D4" s="83" t="s">
        <v>1284</v>
      </c>
    </row>
    <row r="5" spans="1:7">
      <c r="A5" s="82" t="s">
        <v>1285</v>
      </c>
      <c r="B5" s="82" t="s">
        <v>69</v>
      </c>
      <c r="C5" s="83">
        <v>-0.15</v>
      </c>
      <c r="D5" s="83" t="s">
        <v>1285</v>
      </c>
    </row>
    <row r="6" spans="1:7">
      <c r="A6" s="82" t="s">
        <v>1286</v>
      </c>
      <c r="B6" s="82" t="s">
        <v>1287</v>
      </c>
      <c r="C6" s="83">
        <v>-0.2</v>
      </c>
      <c r="D6" s="83" t="s">
        <v>1286</v>
      </c>
    </row>
    <row r="7" spans="1:7">
      <c r="A7" s="82" t="s">
        <v>1288</v>
      </c>
      <c r="B7" s="82" t="s">
        <v>1289</v>
      </c>
      <c r="C7" s="83">
        <v>-0.25</v>
      </c>
      <c r="D7" s="83" t="s">
        <v>1295</v>
      </c>
    </row>
    <row r="8" spans="1:7">
      <c r="A8" s="82" t="s">
        <v>1290</v>
      </c>
      <c r="B8" s="82" t="s">
        <v>1291</v>
      </c>
      <c r="C8" s="83">
        <v>-0.3</v>
      </c>
      <c r="D8" s="83" t="s">
        <v>1297</v>
      </c>
    </row>
    <row r="9" spans="1:7">
      <c r="A9" s="82" t="s">
        <v>1292</v>
      </c>
      <c r="B9" s="82" t="s">
        <v>1291</v>
      </c>
      <c r="C9" s="83">
        <v>-0.4</v>
      </c>
      <c r="D9" s="83" t="s">
        <v>1299</v>
      </c>
    </row>
    <row r="10" spans="1:7">
      <c r="A10" s="82" t="s">
        <v>1293</v>
      </c>
      <c r="B10" s="82" t="s">
        <v>1294</v>
      </c>
      <c r="C10" s="83">
        <v>-0.5</v>
      </c>
      <c r="D10" s="83"/>
    </row>
    <row r="11" spans="1:7">
      <c r="A11" s="82" t="s">
        <v>1295</v>
      </c>
      <c r="B11" s="82" t="s">
        <v>1296</v>
      </c>
    </row>
    <row r="12" spans="1:7">
      <c r="A12" s="82" t="s">
        <v>1297</v>
      </c>
      <c r="B12" s="82" t="s">
        <v>1298</v>
      </c>
    </row>
    <row r="13" spans="1:7">
      <c r="A13" s="82" t="s">
        <v>1299</v>
      </c>
      <c r="B13" s="82" t="s">
        <v>1300</v>
      </c>
    </row>
    <row r="14" spans="1:7">
      <c r="A14" s="82" t="s">
        <v>1301</v>
      </c>
      <c r="B14" s="82" t="s">
        <v>1302</v>
      </c>
    </row>
    <row r="15" spans="1:7">
      <c r="A15" s="82" t="s">
        <v>1303</v>
      </c>
      <c r="B15" s="82" t="s">
        <v>1304</v>
      </c>
    </row>
    <row r="16" spans="1:7">
      <c r="A16" s="82" t="s">
        <v>1305</v>
      </c>
    </row>
    <row r="17" spans="1:1">
      <c r="A17" s="82" t="s">
        <v>1306</v>
      </c>
    </row>
    <row r="18" spans="1:1">
      <c r="A18" s="82" t="s">
        <v>1307</v>
      </c>
    </row>
    <row r="19" spans="1:1">
      <c r="A19" s="82" t="s">
        <v>1308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3EE08-576E-49BE-9D7C-21B73DB4B7DA}">
  <sheetPr codeName="Sheet4">
    <outlinePr summaryBelow="0" summaryRight="0"/>
  </sheetPr>
  <dimension ref="A1:AO712"/>
  <sheetViews>
    <sheetView zoomScale="85" zoomScaleNormal="85" workbookViewId="0">
      <pane ySplit="1" topLeftCell="A2" activePane="bottomLeft" state="frozen"/>
      <selection pane="bottomLeft" activeCell="E20" sqref="E20"/>
    </sheetView>
  </sheetViews>
  <sheetFormatPr defaultColWidth="9.58203125" defaultRowHeight="15.65" customHeight="1" outlineLevelRow="1"/>
  <cols>
    <col min="1" max="1" width="19.1640625" style="17" customWidth="1"/>
    <col min="2" max="3" width="15.33203125" style="17" customWidth="1"/>
    <col min="4" max="4" width="25.83203125" style="17" customWidth="1"/>
    <col min="5" max="5" width="21.83203125" style="17" customWidth="1"/>
    <col min="6" max="6" width="11.33203125" style="9" customWidth="1"/>
    <col min="7" max="7" width="8.5" style="17" customWidth="1"/>
    <col min="8" max="8" width="60.83203125" style="17" customWidth="1"/>
    <col min="9" max="41" width="9.58203125" style="17"/>
    <col min="42" max="16384" width="9.58203125" style="15"/>
  </cols>
  <sheetData>
    <row r="1" spans="1:41" s="9" customFormat="1" ht="20" customHeight="1">
      <c r="A1" s="2" t="s">
        <v>70</v>
      </c>
      <c r="B1" s="3" t="s">
        <v>9</v>
      </c>
      <c r="C1" s="4" t="s">
        <v>71</v>
      </c>
      <c r="D1" s="5" t="s">
        <v>0</v>
      </c>
      <c r="E1" s="5" t="s">
        <v>1</v>
      </c>
      <c r="F1" s="5" t="s">
        <v>72</v>
      </c>
      <c r="G1" s="5" t="s">
        <v>2</v>
      </c>
      <c r="H1" s="5" t="s">
        <v>73</v>
      </c>
      <c r="I1" s="6" t="s">
        <v>74</v>
      </c>
      <c r="J1" s="7" t="s">
        <v>75</v>
      </c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</row>
    <row r="2" spans="1:41" ht="20" customHeight="1">
      <c r="A2" s="10" t="s">
        <v>76</v>
      </c>
      <c r="B2" s="11"/>
      <c r="C2" s="11"/>
      <c r="D2" s="11"/>
      <c r="E2" s="11"/>
      <c r="F2" s="12"/>
      <c r="G2" s="11"/>
      <c r="H2" s="11"/>
      <c r="I2" s="13"/>
      <c r="J2" s="13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</row>
    <row r="3" spans="1:41" ht="20" customHeight="1" outlineLevel="1">
      <c r="A3" s="10" t="s">
        <v>77</v>
      </c>
      <c r="B3" s="13" t="s">
        <v>78</v>
      </c>
      <c r="C3" s="13"/>
      <c r="D3" s="13" t="s">
        <v>79</v>
      </c>
      <c r="E3" s="13" t="s">
        <v>30</v>
      </c>
      <c r="F3" s="16">
        <v>6.9999999999999999E-4</v>
      </c>
      <c r="G3" s="13"/>
      <c r="H3" s="13" t="s">
        <v>80</v>
      </c>
      <c r="I3" s="13"/>
      <c r="J3" s="13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</row>
    <row r="4" spans="1:41" ht="20" customHeight="1" outlineLevel="1">
      <c r="A4" s="10" t="s">
        <v>77</v>
      </c>
      <c r="B4" s="13" t="s">
        <v>81</v>
      </c>
      <c r="C4" s="13"/>
      <c r="D4" s="13" t="s">
        <v>82</v>
      </c>
      <c r="E4" s="13" t="s">
        <v>30</v>
      </c>
      <c r="F4" s="16">
        <v>8.0000000000000004E-4</v>
      </c>
      <c r="G4" s="13"/>
      <c r="H4" s="13" t="s">
        <v>80</v>
      </c>
      <c r="I4" s="13"/>
      <c r="J4" s="13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</row>
    <row r="5" spans="1:41" ht="20" customHeight="1" outlineLevel="1">
      <c r="A5" s="10" t="s">
        <v>77</v>
      </c>
      <c r="B5" s="13" t="s">
        <v>83</v>
      </c>
      <c r="C5" s="13"/>
      <c r="D5" s="13" t="s">
        <v>84</v>
      </c>
      <c r="E5" s="13" t="s">
        <v>30</v>
      </c>
      <c r="F5" s="16">
        <v>8.9999999999999998E-4</v>
      </c>
      <c r="G5" s="13"/>
      <c r="H5" s="13" t="s">
        <v>80</v>
      </c>
      <c r="I5" s="13"/>
      <c r="J5" s="13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</row>
    <row r="6" spans="1:41" ht="20" customHeight="1" outlineLevel="1">
      <c r="A6" s="10" t="s">
        <v>77</v>
      </c>
      <c r="B6" s="13" t="s">
        <v>85</v>
      </c>
      <c r="C6" s="13"/>
      <c r="D6" s="13" t="s">
        <v>86</v>
      </c>
      <c r="E6" s="13" t="s">
        <v>30</v>
      </c>
      <c r="F6" s="16">
        <v>1E-3</v>
      </c>
      <c r="G6" s="13"/>
      <c r="H6" s="13" t="s">
        <v>80</v>
      </c>
      <c r="I6" s="13"/>
      <c r="J6" s="13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</row>
    <row r="7" spans="1:41" ht="20" customHeight="1" outlineLevel="1">
      <c r="A7" s="10" t="s">
        <v>77</v>
      </c>
      <c r="B7" s="13" t="s">
        <v>87</v>
      </c>
      <c r="C7" s="13"/>
      <c r="D7" s="13" t="s">
        <v>88</v>
      </c>
      <c r="E7" s="13" t="s">
        <v>30</v>
      </c>
      <c r="F7" s="16">
        <v>1.1999999999999999E-3</v>
      </c>
      <c r="G7" s="13"/>
      <c r="H7" s="13" t="s">
        <v>80</v>
      </c>
      <c r="I7" s="13"/>
      <c r="J7" s="13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</row>
    <row r="8" spans="1:41" ht="20" customHeight="1" outlineLevel="1">
      <c r="A8" s="10" t="s">
        <v>77</v>
      </c>
      <c r="B8" s="13" t="s">
        <v>89</v>
      </c>
      <c r="C8" s="13"/>
      <c r="D8" s="13" t="s">
        <v>90</v>
      </c>
      <c r="E8" s="13" t="s">
        <v>31</v>
      </c>
      <c r="F8" s="16">
        <v>1.5E-3</v>
      </c>
      <c r="G8" s="13"/>
      <c r="H8" s="13" t="s">
        <v>80</v>
      </c>
      <c r="I8" s="13"/>
      <c r="J8" s="13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</row>
    <row r="9" spans="1:41" ht="20" customHeight="1" outlineLevel="1">
      <c r="A9" s="10" t="s">
        <v>77</v>
      </c>
      <c r="B9" s="13" t="s">
        <v>91</v>
      </c>
      <c r="C9" s="13"/>
      <c r="D9" s="13" t="s">
        <v>92</v>
      </c>
      <c r="E9" s="13" t="s">
        <v>31</v>
      </c>
      <c r="F9" s="16">
        <v>1.6999999999999999E-3</v>
      </c>
      <c r="G9" s="13"/>
      <c r="H9" s="13" t="s">
        <v>80</v>
      </c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</row>
    <row r="10" spans="1:41" ht="20" customHeight="1" outlineLevel="1">
      <c r="A10" s="10" t="s">
        <v>77</v>
      </c>
      <c r="B10" s="13" t="s">
        <v>93</v>
      </c>
      <c r="C10" s="13"/>
      <c r="D10" s="13" t="s">
        <v>94</v>
      </c>
      <c r="E10" s="13" t="s">
        <v>31</v>
      </c>
      <c r="F10" s="16">
        <v>2E-3</v>
      </c>
      <c r="G10" s="13"/>
      <c r="H10" s="13" t="s">
        <v>80</v>
      </c>
      <c r="I10" s="13"/>
      <c r="J10" s="13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</row>
    <row r="11" spans="1:41" ht="20" customHeight="1" outlineLevel="1">
      <c r="A11" s="10" t="s">
        <v>77</v>
      </c>
      <c r="B11" s="13" t="s">
        <v>95</v>
      </c>
      <c r="C11" s="13"/>
      <c r="D11" s="13" t="s">
        <v>79</v>
      </c>
      <c r="E11" s="13" t="s">
        <v>96</v>
      </c>
      <c r="F11" s="16">
        <v>6.9999999999999999E-4</v>
      </c>
      <c r="G11" s="13" t="s">
        <v>97</v>
      </c>
      <c r="H11" s="13"/>
      <c r="I11" s="13"/>
      <c r="J11" s="13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</row>
    <row r="12" spans="1:41" ht="20" customHeight="1" outlineLevel="1">
      <c r="A12" s="10" t="s">
        <v>77</v>
      </c>
      <c r="B12" s="13" t="s">
        <v>98</v>
      </c>
      <c r="C12" s="13"/>
      <c r="D12" s="13" t="s">
        <v>82</v>
      </c>
      <c r="E12" s="13" t="s">
        <v>96</v>
      </c>
      <c r="F12" s="16">
        <v>8.0000000000000004E-4</v>
      </c>
      <c r="G12" s="13" t="s">
        <v>97</v>
      </c>
      <c r="H12" s="13"/>
      <c r="I12" s="13"/>
      <c r="J12" s="13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</row>
    <row r="13" spans="1:41" ht="20" customHeight="1" outlineLevel="1">
      <c r="A13" s="10" t="s">
        <v>77</v>
      </c>
      <c r="B13" s="13" t="s">
        <v>99</v>
      </c>
      <c r="C13" s="13"/>
      <c r="D13" s="13" t="s">
        <v>84</v>
      </c>
      <c r="E13" s="13" t="s">
        <v>96</v>
      </c>
      <c r="F13" s="16">
        <v>8.9999999999999998E-4</v>
      </c>
      <c r="G13" s="13" t="s">
        <v>97</v>
      </c>
      <c r="H13" s="13"/>
      <c r="I13" s="13"/>
      <c r="J13" s="13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</row>
    <row r="14" spans="1:41" ht="20" customHeight="1" outlineLevel="1">
      <c r="A14" s="10" t="s">
        <v>77</v>
      </c>
      <c r="B14" s="13" t="s">
        <v>100</v>
      </c>
      <c r="C14" s="13"/>
      <c r="D14" s="13" t="s">
        <v>86</v>
      </c>
      <c r="E14" s="13" t="s">
        <v>96</v>
      </c>
      <c r="F14" s="16">
        <v>1E-3</v>
      </c>
      <c r="G14" s="13" t="s">
        <v>97</v>
      </c>
      <c r="H14" s="13"/>
      <c r="I14" s="13"/>
      <c r="J14" s="13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</row>
    <row r="15" spans="1:41" ht="20" customHeight="1" outlineLevel="1">
      <c r="A15" s="10" t="s">
        <v>77</v>
      </c>
      <c r="B15" s="13" t="s">
        <v>101</v>
      </c>
      <c r="C15" s="13"/>
      <c r="D15" s="13" t="s">
        <v>88</v>
      </c>
      <c r="E15" s="13" t="s">
        <v>96</v>
      </c>
      <c r="F15" s="16">
        <v>1.2999999999999999E-3</v>
      </c>
      <c r="G15" s="13" t="s">
        <v>97</v>
      </c>
      <c r="H15" s="13"/>
      <c r="I15" s="13"/>
      <c r="J15" s="13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</row>
    <row r="16" spans="1:41" ht="20" customHeight="1" outlineLevel="1">
      <c r="A16" s="10" t="s">
        <v>77</v>
      </c>
      <c r="B16" s="13" t="s">
        <v>102</v>
      </c>
      <c r="C16" s="13"/>
      <c r="D16" s="13" t="s">
        <v>90</v>
      </c>
      <c r="E16" s="13" t="s">
        <v>103</v>
      </c>
      <c r="F16" s="16">
        <v>1.5E-3</v>
      </c>
      <c r="G16" s="13" t="s">
        <v>97</v>
      </c>
      <c r="H16" s="13"/>
      <c r="I16" s="13"/>
      <c r="J16" s="13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</row>
    <row r="17" spans="1:41" ht="20" customHeight="1" outlineLevel="1">
      <c r="A17" s="10" t="s">
        <v>77</v>
      </c>
      <c r="B17" s="13" t="s">
        <v>104</v>
      </c>
      <c r="C17" s="13"/>
      <c r="D17" s="13" t="s">
        <v>92</v>
      </c>
      <c r="E17" s="13" t="s">
        <v>103</v>
      </c>
      <c r="F17" s="16">
        <v>1.6999999999999999E-3</v>
      </c>
      <c r="G17" s="13" t="s">
        <v>97</v>
      </c>
      <c r="H17" s="13"/>
      <c r="I17" s="13"/>
      <c r="J17" s="13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</row>
    <row r="18" spans="1:41" ht="20" customHeight="1" outlineLevel="1">
      <c r="A18" s="10" t="s">
        <v>77</v>
      </c>
      <c r="B18" s="13" t="s">
        <v>105</v>
      </c>
      <c r="C18" s="13"/>
      <c r="D18" s="13" t="s">
        <v>94</v>
      </c>
      <c r="E18" s="13" t="s">
        <v>103</v>
      </c>
      <c r="F18" s="16">
        <v>2E-3</v>
      </c>
      <c r="G18" s="13" t="s">
        <v>97</v>
      </c>
      <c r="H18" s="13"/>
      <c r="I18" s="13"/>
      <c r="J18" s="13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</row>
    <row r="19" spans="1:41" ht="20" customHeight="1" outlineLevel="1">
      <c r="A19" s="10" t="s">
        <v>77</v>
      </c>
      <c r="B19" s="13" t="s">
        <v>106</v>
      </c>
      <c r="C19" s="13"/>
      <c r="D19" s="13" t="s">
        <v>107</v>
      </c>
      <c r="E19" s="13" t="s">
        <v>30</v>
      </c>
      <c r="F19" s="16">
        <v>1.6000000000000001E-3</v>
      </c>
      <c r="G19" s="13"/>
      <c r="H19" s="13" t="s">
        <v>80</v>
      </c>
      <c r="I19" s="13"/>
      <c r="J19" s="13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</row>
    <row r="20" spans="1:41" ht="20" customHeight="1" outlineLevel="1">
      <c r="A20" s="10" t="s">
        <v>77</v>
      </c>
      <c r="B20" s="13" t="s">
        <v>108</v>
      </c>
      <c r="C20" s="13"/>
      <c r="D20" s="13" t="s">
        <v>109</v>
      </c>
      <c r="E20" s="13" t="s">
        <v>30</v>
      </c>
      <c r="F20" s="16">
        <v>1.8E-3</v>
      </c>
      <c r="G20" s="13"/>
      <c r="H20" s="13" t="s">
        <v>80</v>
      </c>
      <c r="I20" s="13"/>
      <c r="J20" s="13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</row>
    <row r="21" spans="1:41" ht="20" customHeight="1" outlineLevel="1">
      <c r="A21" s="10" t="s">
        <v>77</v>
      </c>
      <c r="B21" s="13" t="s">
        <v>110</v>
      </c>
      <c r="C21" s="13"/>
      <c r="D21" s="13" t="s">
        <v>111</v>
      </c>
      <c r="E21" s="13" t="s">
        <v>30</v>
      </c>
      <c r="F21" s="16">
        <v>2E-3</v>
      </c>
      <c r="G21" s="13"/>
      <c r="H21" s="13" t="s">
        <v>80</v>
      </c>
      <c r="I21" s="13"/>
      <c r="J21" s="13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</row>
    <row r="22" spans="1:41" ht="20" customHeight="1" outlineLevel="1">
      <c r="A22" s="10" t="s">
        <v>77</v>
      </c>
      <c r="B22" s="13" t="s">
        <v>112</v>
      </c>
      <c r="C22" s="13"/>
      <c r="D22" s="13" t="s">
        <v>113</v>
      </c>
      <c r="E22" s="13" t="s">
        <v>30</v>
      </c>
      <c r="F22" s="16">
        <v>2.3999999999999998E-3</v>
      </c>
      <c r="G22" s="13"/>
      <c r="H22" s="13" t="s">
        <v>80</v>
      </c>
      <c r="I22" s="13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</row>
    <row r="23" spans="1:41" ht="20" customHeight="1" outlineLevel="1">
      <c r="A23" s="10" t="s">
        <v>77</v>
      </c>
      <c r="B23" s="13" t="s">
        <v>114</v>
      </c>
      <c r="C23" s="13"/>
      <c r="D23" s="13" t="s">
        <v>115</v>
      </c>
      <c r="E23" s="13" t="s">
        <v>30</v>
      </c>
      <c r="F23" s="16">
        <v>2.8E-3</v>
      </c>
      <c r="G23" s="13"/>
      <c r="H23" s="13" t="s">
        <v>80</v>
      </c>
      <c r="I23" s="13"/>
      <c r="J23" s="13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</row>
    <row r="24" spans="1:41" ht="20" customHeight="1" outlineLevel="1">
      <c r="A24" s="10" t="s">
        <v>77</v>
      </c>
      <c r="B24" s="13" t="s">
        <v>116</v>
      </c>
      <c r="C24" s="13"/>
      <c r="D24" s="13" t="s">
        <v>117</v>
      </c>
      <c r="E24" s="13" t="s">
        <v>31</v>
      </c>
      <c r="F24" s="16">
        <v>3.2000000000000002E-3</v>
      </c>
      <c r="G24" s="13"/>
      <c r="H24" s="13" t="s">
        <v>80</v>
      </c>
      <c r="I24" s="13"/>
      <c r="J24" s="13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</row>
    <row r="25" spans="1:41" ht="20" customHeight="1" outlineLevel="1">
      <c r="A25" s="10" t="s">
        <v>77</v>
      </c>
      <c r="B25" s="13" t="s">
        <v>118</v>
      </c>
      <c r="C25" s="13"/>
      <c r="D25" s="13" t="s">
        <v>119</v>
      </c>
      <c r="E25" s="13" t="s">
        <v>31</v>
      </c>
      <c r="F25" s="16">
        <v>3.7000000000000002E-3</v>
      </c>
      <c r="G25" s="13"/>
      <c r="H25" s="13" t="s">
        <v>80</v>
      </c>
      <c r="I25" s="13"/>
      <c r="J25" s="13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</row>
    <row r="26" spans="1:41" ht="20" customHeight="1" outlineLevel="1">
      <c r="A26" s="10" t="s">
        <v>77</v>
      </c>
      <c r="B26" s="13" t="s">
        <v>120</v>
      </c>
      <c r="C26" s="13"/>
      <c r="D26" s="13" t="s">
        <v>121</v>
      </c>
      <c r="E26" s="13" t="s">
        <v>31</v>
      </c>
      <c r="F26" s="16">
        <v>4.1999999999999997E-3</v>
      </c>
      <c r="G26" s="13"/>
      <c r="H26" s="13" t="s">
        <v>80</v>
      </c>
      <c r="I26" s="13"/>
      <c r="J26" s="13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</row>
    <row r="27" spans="1:41" ht="20" customHeight="1" outlineLevel="1">
      <c r="A27" s="10" t="s">
        <v>77</v>
      </c>
      <c r="B27" s="13" t="s">
        <v>122</v>
      </c>
      <c r="C27" s="13"/>
      <c r="D27" s="13" t="s">
        <v>123</v>
      </c>
      <c r="E27" s="13" t="s">
        <v>31</v>
      </c>
      <c r="F27" s="16">
        <v>4.7000000000000002E-3</v>
      </c>
      <c r="G27" s="13"/>
      <c r="H27" s="13" t="s">
        <v>80</v>
      </c>
      <c r="I27" s="13"/>
      <c r="J27" s="13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</row>
    <row r="28" spans="1:41" ht="20" customHeight="1" outlineLevel="1">
      <c r="A28" s="10" t="s">
        <v>77</v>
      </c>
      <c r="B28" s="13" t="s">
        <v>124</v>
      </c>
      <c r="C28" s="13"/>
      <c r="D28" s="13" t="s">
        <v>107</v>
      </c>
      <c r="E28" s="13" t="s">
        <v>96</v>
      </c>
      <c r="F28" s="16">
        <v>1.6999999999999999E-3</v>
      </c>
      <c r="G28" s="13" t="s">
        <v>97</v>
      </c>
      <c r="H28" s="13"/>
      <c r="I28" s="13"/>
      <c r="J28" s="13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</row>
    <row r="29" spans="1:41" ht="20" customHeight="1" outlineLevel="1">
      <c r="A29" s="10" t="s">
        <v>77</v>
      </c>
      <c r="B29" s="13" t="s">
        <v>125</v>
      </c>
      <c r="C29" s="13"/>
      <c r="D29" s="13" t="s">
        <v>109</v>
      </c>
      <c r="E29" s="13" t="s">
        <v>96</v>
      </c>
      <c r="F29" s="16">
        <v>1.8E-3</v>
      </c>
      <c r="G29" s="13" t="s">
        <v>97</v>
      </c>
      <c r="H29" s="13"/>
      <c r="I29" s="13"/>
      <c r="J29" s="13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</row>
    <row r="30" spans="1:41" ht="20" customHeight="1" outlineLevel="1">
      <c r="A30" s="10" t="s">
        <v>77</v>
      </c>
      <c r="B30" s="13" t="s">
        <v>126</v>
      </c>
      <c r="C30" s="13"/>
      <c r="D30" s="13" t="s">
        <v>111</v>
      </c>
      <c r="E30" s="13" t="s">
        <v>96</v>
      </c>
      <c r="F30" s="16">
        <v>2E-3</v>
      </c>
      <c r="G30" s="13" t="s">
        <v>97</v>
      </c>
      <c r="H30" s="13"/>
      <c r="I30" s="13"/>
      <c r="J30" s="13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</row>
    <row r="31" spans="1:41" ht="20" customHeight="1" outlineLevel="1">
      <c r="A31" s="10" t="s">
        <v>77</v>
      </c>
      <c r="B31" s="13" t="s">
        <v>127</v>
      </c>
      <c r="C31" s="13"/>
      <c r="D31" s="13" t="s">
        <v>113</v>
      </c>
      <c r="E31" s="13" t="s">
        <v>96</v>
      </c>
      <c r="F31" s="16">
        <v>2.3999999999999998E-3</v>
      </c>
      <c r="G31" s="13" t="s">
        <v>97</v>
      </c>
      <c r="H31" s="13"/>
      <c r="I31" s="13"/>
      <c r="J31" s="13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</row>
    <row r="32" spans="1:41" ht="20" customHeight="1" outlineLevel="1">
      <c r="A32" s="10" t="s">
        <v>77</v>
      </c>
      <c r="B32" s="13" t="s">
        <v>128</v>
      </c>
      <c r="C32" s="13"/>
      <c r="D32" s="13" t="s">
        <v>117</v>
      </c>
      <c r="E32" s="13" t="s">
        <v>103</v>
      </c>
      <c r="F32" s="16">
        <v>3.3E-3</v>
      </c>
      <c r="G32" s="13" t="s">
        <v>97</v>
      </c>
      <c r="H32" s="13"/>
      <c r="I32" s="13"/>
      <c r="J32" s="13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</row>
    <row r="33" spans="1:41" ht="20" customHeight="1" outlineLevel="1">
      <c r="A33" s="10" t="s">
        <v>77</v>
      </c>
      <c r="B33" s="13" t="s">
        <v>129</v>
      </c>
      <c r="C33" s="13"/>
      <c r="D33" s="13" t="s">
        <v>119</v>
      </c>
      <c r="E33" s="13" t="s">
        <v>103</v>
      </c>
      <c r="F33" s="16">
        <v>3.8E-3</v>
      </c>
      <c r="G33" s="13" t="s">
        <v>97</v>
      </c>
      <c r="H33" s="13"/>
      <c r="I33" s="13"/>
      <c r="J33" s="13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</row>
    <row r="34" spans="1:41" ht="20" customHeight="1" outlineLevel="1">
      <c r="A34" s="10" t="s">
        <v>77</v>
      </c>
      <c r="B34" s="13" t="s">
        <v>130</v>
      </c>
      <c r="C34" s="13"/>
      <c r="D34" s="13" t="s">
        <v>123</v>
      </c>
      <c r="E34" s="13" t="s">
        <v>103</v>
      </c>
      <c r="F34" s="16">
        <v>4.7000000000000002E-3</v>
      </c>
      <c r="G34" s="13" t="s">
        <v>97</v>
      </c>
      <c r="H34" s="13"/>
      <c r="I34" s="13"/>
      <c r="J34" s="13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</row>
    <row r="35" spans="1:41" ht="20" customHeight="1" outlineLevel="1">
      <c r="A35" s="10" t="s">
        <v>77</v>
      </c>
      <c r="B35" s="13" t="s">
        <v>131</v>
      </c>
      <c r="C35" s="13"/>
      <c r="D35" s="13" t="s">
        <v>132</v>
      </c>
      <c r="E35" s="13" t="s">
        <v>30</v>
      </c>
      <c r="F35" s="16">
        <v>2.8999999999999998E-3</v>
      </c>
      <c r="G35" s="13"/>
      <c r="H35" s="13" t="s">
        <v>80</v>
      </c>
      <c r="I35" s="13"/>
      <c r="J35" s="13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</row>
    <row r="36" spans="1:41" ht="20" customHeight="1" outlineLevel="1">
      <c r="A36" s="10" t="s">
        <v>77</v>
      </c>
      <c r="B36" s="13" t="s">
        <v>133</v>
      </c>
      <c r="C36" s="13"/>
      <c r="D36" s="13" t="s">
        <v>134</v>
      </c>
      <c r="E36" s="13" t="s">
        <v>30</v>
      </c>
      <c r="F36" s="16">
        <v>3.2000000000000002E-3</v>
      </c>
      <c r="G36" s="13"/>
      <c r="H36" s="13" t="s">
        <v>80</v>
      </c>
      <c r="I36" s="13"/>
      <c r="J36" s="13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</row>
    <row r="37" spans="1:41" ht="20" customHeight="1" outlineLevel="1">
      <c r="A37" s="10" t="s">
        <v>77</v>
      </c>
      <c r="B37" s="13" t="s">
        <v>135</v>
      </c>
      <c r="C37" s="13"/>
      <c r="D37" s="13" t="s">
        <v>136</v>
      </c>
      <c r="E37" s="13" t="s">
        <v>30</v>
      </c>
      <c r="F37" s="16">
        <v>3.8E-3</v>
      </c>
      <c r="G37" s="13"/>
      <c r="H37" s="13" t="s">
        <v>80</v>
      </c>
      <c r="I37" s="13"/>
      <c r="J37" s="13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</row>
    <row r="38" spans="1:41" ht="20" customHeight="1" outlineLevel="1">
      <c r="A38" s="10" t="s">
        <v>77</v>
      </c>
      <c r="B38" s="13" t="s">
        <v>137</v>
      </c>
      <c r="C38" s="13"/>
      <c r="D38" s="13" t="s">
        <v>138</v>
      </c>
      <c r="E38" s="13" t="s">
        <v>30</v>
      </c>
      <c r="F38" s="16">
        <v>4.4000000000000003E-3</v>
      </c>
      <c r="G38" s="13"/>
      <c r="H38" s="13" t="s">
        <v>80</v>
      </c>
      <c r="I38" s="13"/>
      <c r="J38" s="13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</row>
    <row r="39" spans="1:41" ht="20" customHeight="1" outlineLevel="1">
      <c r="A39" s="10" t="s">
        <v>77</v>
      </c>
      <c r="B39" s="13" t="s">
        <v>139</v>
      </c>
      <c r="C39" s="13"/>
      <c r="D39" s="13" t="s">
        <v>140</v>
      </c>
      <c r="E39" s="13" t="s">
        <v>31</v>
      </c>
      <c r="F39" s="16">
        <v>5.1999999999999998E-3</v>
      </c>
      <c r="G39" s="13"/>
      <c r="H39" s="13" t="s">
        <v>80</v>
      </c>
      <c r="I39" s="13"/>
      <c r="J39" s="13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</row>
    <row r="40" spans="1:41" ht="20" customHeight="1" outlineLevel="1">
      <c r="A40" s="10" t="s">
        <v>77</v>
      </c>
      <c r="B40" s="13" t="s">
        <v>141</v>
      </c>
      <c r="C40" s="13"/>
      <c r="D40" s="13" t="s">
        <v>142</v>
      </c>
      <c r="E40" s="13" t="s">
        <v>31</v>
      </c>
      <c r="F40" s="16">
        <v>5.8999999999999999E-3</v>
      </c>
      <c r="G40" s="13"/>
      <c r="H40" s="13" t="s">
        <v>80</v>
      </c>
      <c r="I40" s="13"/>
      <c r="J40" s="13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</row>
    <row r="41" spans="1:41" ht="20" customHeight="1" outlineLevel="1">
      <c r="A41" s="10" t="s">
        <v>77</v>
      </c>
      <c r="B41" s="13" t="s">
        <v>143</v>
      </c>
      <c r="C41" s="13"/>
      <c r="D41" s="13" t="s">
        <v>144</v>
      </c>
      <c r="E41" s="13" t="s">
        <v>31</v>
      </c>
      <c r="F41" s="16">
        <v>6.7000000000000002E-3</v>
      </c>
      <c r="G41" s="13"/>
      <c r="H41" s="13" t="s">
        <v>80</v>
      </c>
      <c r="I41" s="13"/>
      <c r="J41" s="13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</row>
    <row r="42" spans="1:41" ht="20" customHeight="1" outlineLevel="1">
      <c r="A42" s="10" t="s">
        <v>77</v>
      </c>
      <c r="B42" s="13" t="s">
        <v>145</v>
      </c>
      <c r="C42" s="13"/>
      <c r="D42" s="13" t="s">
        <v>146</v>
      </c>
      <c r="E42" s="13" t="s">
        <v>31</v>
      </c>
      <c r="F42" s="16">
        <v>7.4000000000000003E-3</v>
      </c>
      <c r="G42" s="13"/>
      <c r="H42" s="13" t="s">
        <v>80</v>
      </c>
      <c r="I42" s="13"/>
      <c r="J42" s="13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</row>
    <row r="43" spans="1:41" ht="20" customHeight="1" outlineLevel="1">
      <c r="A43" s="10" t="s">
        <v>77</v>
      </c>
      <c r="B43" s="13" t="s">
        <v>147</v>
      </c>
      <c r="C43" s="13"/>
      <c r="D43" s="13" t="s">
        <v>148</v>
      </c>
      <c r="E43" s="13" t="s">
        <v>31</v>
      </c>
      <c r="F43" s="16">
        <v>8.2000000000000007E-3</v>
      </c>
      <c r="G43" s="13"/>
      <c r="H43" s="13" t="s">
        <v>80</v>
      </c>
      <c r="I43" s="13"/>
      <c r="J43" s="13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</row>
    <row r="44" spans="1:41" ht="20" customHeight="1" outlineLevel="1">
      <c r="A44" s="10" t="s">
        <v>77</v>
      </c>
      <c r="B44" s="13" t="s">
        <v>149</v>
      </c>
      <c r="C44" s="13"/>
      <c r="D44" s="13" t="s">
        <v>150</v>
      </c>
      <c r="E44" s="13" t="s">
        <v>31</v>
      </c>
      <c r="F44" s="16">
        <v>8.8999999999999999E-3</v>
      </c>
      <c r="G44" s="13"/>
      <c r="H44" s="13" t="s">
        <v>80</v>
      </c>
      <c r="I44" s="13"/>
      <c r="J44" s="13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</row>
    <row r="45" spans="1:41" ht="20" customHeight="1" outlineLevel="1">
      <c r="A45" s="10" t="s">
        <v>77</v>
      </c>
      <c r="B45" s="13" t="s">
        <v>151</v>
      </c>
      <c r="C45" s="13"/>
      <c r="D45" s="13" t="s">
        <v>132</v>
      </c>
      <c r="E45" s="13" t="s">
        <v>96</v>
      </c>
      <c r="F45" s="16">
        <v>3.0000000000000001E-3</v>
      </c>
      <c r="G45" s="13" t="s">
        <v>97</v>
      </c>
      <c r="H45" s="13"/>
      <c r="I45" s="13"/>
      <c r="J45" s="13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</row>
    <row r="46" spans="1:41" ht="20" customHeight="1" outlineLevel="1">
      <c r="A46" s="10" t="s">
        <v>77</v>
      </c>
      <c r="B46" s="13" t="s">
        <v>152</v>
      </c>
      <c r="C46" s="13"/>
      <c r="D46" s="13" t="s">
        <v>134</v>
      </c>
      <c r="E46" s="13" t="s">
        <v>96</v>
      </c>
      <c r="F46" s="16">
        <v>3.3E-3</v>
      </c>
      <c r="G46" s="13" t="s">
        <v>97</v>
      </c>
      <c r="H46" s="13"/>
      <c r="I46" s="13"/>
      <c r="J46" s="13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</row>
    <row r="47" spans="1:41" ht="20" customHeight="1" outlineLevel="1">
      <c r="A47" s="10" t="s">
        <v>77</v>
      </c>
      <c r="B47" s="13" t="s">
        <v>153</v>
      </c>
      <c r="C47" s="13"/>
      <c r="D47" s="13" t="s">
        <v>136</v>
      </c>
      <c r="E47" s="13" t="s">
        <v>96</v>
      </c>
      <c r="F47" s="16">
        <v>3.8999999999999998E-3</v>
      </c>
      <c r="G47" s="13" t="s">
        <v>97</v>
      </c>
      <c r="H47" s="13"/>
      <c r="I47" s="13"/>
      <c r="J47" s="13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</row>
    <row r="48" spans="1:41" ht="20" customHeight="1" outlineLevel="1">
      <c r="A48" s="10" t="s">
        <v>77</v>
      </c>
      <c r="B48" s="13" t="s">
        <v>154</v>
      </c>
      <c r="C48" s="13"/>
      <c r="D48" s="13" t="s">
        <v>138</v>
      </c>
      <c r="E48" s="13" t="s">
        <v>96</v>
      </c>
      <c r="F48" s="16">
        <v>4.4999999999999997E-3</v>
      </c>
      <c r="G48" s="13" t="s">
        <v>97</v>
      </c>
      <c r="H48" s="13"/>
      <c r="I48" s="13"/>
      <c r="J48" s="13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</row>
    <row r="49" spans="1:41" ht="20" customHeight="1" outlineLevel="1">
      <c r="A49" s="10" t="s">
        <v>77</v>
      </c>
      <c r="B49" s="13" t="s">
        <v>155</v>
      </c>
      <c r="C49" s="13"/>
      <c r="D49" s="13" t="s">
        <v>140</v>
      </c>
      <c r="E49" s="13" t="s">
        <v>103</v>
      </c>
      <c r="F49" s="16">
        <v>5.1999999999999998E-3</v>
      </c>
      <c r="G49" s="13" t="s">
        <v>97</v>
      </c>
      <c r="H49" s="13"/>
      <c r="I49" s="13"/>
      <c r="J49" s="13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</row>
    <row r="50" spans="1:41" ht="20" customHeight="1" outlineLevel="1">
      <c r="A50" s="10" t="s">
        <v>77</v>
      </c>
      <c r="B50" s="13" t="s">
        <v>156</v>
      </c>
      <c r="C50" s="13"/>
      <c r="D50" s="13" t="s">
        <v>142</v>
      </c>
      <c r="E50" s="13" t="s">
        <v>103</v>
      </c>
      <c r="F50" s="16">
        <v>6.0000000000000001E-3</v>
      </c>
      <c r="G50" s="13" t="s">
        <v>97</v>
      </c>
      <c r="H50" s="13"/>
      <c r="I50" s="13"/>
      <c r="J50" s="13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</row>
    <row r="51" spans="1:41" ht="20" customHeight="1" outlineLevel="1">
      <c r="A51" s="10" t="s">
        <v>77</v>
      </c>
      <c r="B51" s="13" t="s">
        <v>157</v>
      </c>
      <c r="C51" s="13"/>
      <c r="D51" s="13" t="s">
        <v>144</v>
      </c>
      <c r="E51" s="13" t="s">
        <v>103</v>
      </c>
      <c r="F51" s="16">
        <v>6.7000000000000002E-3</v>
      </c>
      <c r="G51" s="13" t="s">
        <v>97</v>
      </c>
      <c r="H51" s="13"/>
      <c r="I51" s="13"/>
      <c r="J51" s="13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</row>
    <row r="52" spans="1:41" ht="20" customHeight="1" outlineLevel="1">
      <c r="A52" s="10" t="s">
        <v>77</v>
      </c>
      <c r="B52" s="13" t="s">
        <v>158</v>
      </c>
      <c r="C52" s="13"/>
      <c r="D52" s="13" t="s">
        <v>146</v>
      </c>
      <c r="E52" s="13" t="s">
        <v>103</v>
      </c>
      <c r="F52" s="16">
        <v>7.4999999999999997E-3</v>
      </c>
      <c r="G52" s="13" t="s">
        <v>97</v>
      </c>
      <c r="H52" s="13"/>
      <c r="I52" s="13"/>
      <c r="J52" s="13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</row>
    <row r="53" spans="1:41" ht="20" customHeight="1" outlineLevel="1">
      <c r="A53" s="10" t="s">
        <v>77</v>
      </c>
      <c r="B53" s="13" t="s">
        <v>159</v>
      </c>
      <c r="C53" s="13"/>
      <c r="D53" s="13" t="s">
        <v>148</v>
      </c>
      <c r="E53" s="13" t="s">
        <v>103</v>
      </c>
      <c r="F53" s="16">
        <v>8.2000000000000007E-3</v>
      </c>
      <c r="G53" s="13" t="s">
        <v>97</v>
      </c>
      <c r="H53" s="13"/>
      <c r="I53" s="13"/>
      <c r="J53" s="13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</row>
    <row r="54" spans="1:41" ht="20" customHeight="1" outlineLevel="1">
      <c r="A54" s="10" t="s">
        <v>77</v>
      </c>
      <c r="B54" s="13" t="s">
        <v>160</v>
      </c>
      <c r="C54" s="13"/>
      <c r="D54" s="13" t="s">
        <v>150</v>
      </c>
      <c r="E54" s="13" t="s">
        <v>103</v>
      </c>
      <c r="F54" s="16">
        <v>8.9999999999999993E-3</v>
      </c>
      <c r="G54" s="13" t="s">
        <v>97</v>
      </c>
      <c r="H54" s="13"/>
      <c r="I54" s="13"/>
      <c r="J54" s="13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55" spans="1:41" ht="20" customHeight="1" outlineLevel="1">
      <c r="A55" s="10" t="s">
        <v>77</v>
      </c>
      <c r="B55" s="13" t="s">
        <v>161</v>
      </c>
      <c r="C55" s="13"/>
      <c r="D55" s="13" t="s">
        <v>162</v>
      </c>
      <c r="E55" s="13" t="s">
        <v>30</v>
      </c>
      <c r="F55" s="16">
        <v>5.1999999999999998E-3</v>
      </c>
      <c r="G55" s="13"/>
      <c r="H55" s="13" t="s">
        <v>163</v>
      </c>
      <c r="I55" s="13"/>
      <c r="J55" s="13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</row>
    <row r="56" spans="1:41" ht="20" customHeight="1" outlineLevel="1">
      <c r="A56" s="10" t="s">
        <v>77</v>
      </c>
      <c r="B56" s="13" t="s">
        <v>164</v>
      </c>
      <c r="C56" s="13"/>
      <c r="D56" s="13" t="s">
        <v>165</v>
      </c>
      <c r="E56" s="13" t="s">
        <v>30</v>
      </c>
      <c r="F56" s="16">
        <v>6.1000000000000004E-3</v>
      </c>
      <c r="G56" s="13"/>
      <c r="H56" s="13" t="s">
        <v>163</v>
      </c>
      <c r="I56" s="13"/>
      <c r="J56" s="13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</row>
    <row r="57" spans="1:41" ht="20" customHeight="1" outlineLevel="1">
      <c r="A57" s="10" t="s">
        <v>77</v>
      </c>
      <c r="B57" s="13" t="s">
        <v>166</v>
      </c>
      <c r="C57" s="13"/>
      <c r="D57" s="13" t="s">
        <v>167</v>
      </c>
      <c r="E57" s="13" t="s">
        <v>30</v>
      </c>
      <c r="F57" s="16">
        <v>6.8999999999999999E-3</v>
      </c>
      <c r="G57" s="13"/>
      <c r="H57" s="13" t="s">
        <v>163</v>
      </c>
      <c r="I57" s="13"/>
      <c r="J57" s="13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</row>
    <row r="58" spans="1:41" ht="20" customHeight="1" outlineLevel="1">
      <c r="A58" s="10" t="s">
        <v>77</v>
      </c>
      <c r="B58" s="13" t="s">
        <v>168</v>
      </c>
      <c r="C58" s="13"/>
      <c r="D58" s="13" t="s">
        <v>169</v>
      </c>
      <c r="E58" s="13" t="s">
        <v>30</v>
      </c>
      <c r="F58" s="16">
        <v>8.0000000000000002E-3</v>
      </c>
      <c r="G58" s="13"/>
      <c r="H58" s="13" t="s">
        <v>163</v>
      </c>
      <c r="I58" s="13"/>
      <c r="J58" s="13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</row>
    <row r="59" spans="1:41" ht="20" customHeight="1" outlineLevel="1">
      <c r="A59" s="10" t="s">
        <v>77</v>
      </c>
      <c r="B59" s="13" t="s">
        <v>170</v>
      </c>
      <c r="C59" s="13"/>
      <c r="D59" s="13" t="s">
        <v>171</v>
      </c>
      <c r="E59" s="13" t="s">
        <v>31</v>
      </c>
      <c r="F59" s="16">
        <v>9.1000000000000004E-3</v>
      </c>
      <c r="G59" s="13"/>
      <c r="H59" s="13" t="s">
        <v>163</v>
      </c>
      <c r="I59" s="13"/>
      <c r="J59" s="13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</row>
    <row r="60" spans="1:41" ht="20" customHeight="1" outlineLevel="1">
      <c r="A60" s="10" t="s">
        <v>77</v>
      </c>
      <c r="B60" s="13" t="s">
        <v>172</v>
      </c>
      <c r="C60" s="13"/>
      <c r="D60" s="13" t="s">
        <v>173</v>
      </c>
      <c r="E60" s="13" t="s">
        <v>31</v>
      </c>
      <c r="F60" s="16">
        <v>1.0200000000000001E-2</v>
      </c>
      <c r="G60" s="13"/>
      <c r="H60" s="13" t="s">
        <v>163</v>
      </c>
      <c r="I60" s="13"/>
      <c r="J60" s="13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</row>
    <row r="61" spans="1:41" ht="20" customHeight="1" outlineLevel="1">
      <c r="A61" s="10" t="s">
        <v>77</v>
      </c>
      <c r="B61" s="13" t="s">
        <v>174</v>
      </c>
      <c r="C61" s="13"/>
      <c r="D61" s="13" t="s">
        <v>175</v>
      </c>
      <c r="E61" s="13" t="s">
        <v>31</v>
      </c>
      <c r="F61" s="16">
        <v>1.1299999999999999E-2</v>
      </c>
      <c r="G61" s="13"/>
      <c r="H61" s="13" t="s">
        <v>163</v>
      </c>
      <c r="I61" s="13"/>
      <c r="J61" s="13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</row>
    <row r="62" spans="1:41" ht="20" customHeight="1" outlineLevel="1">
      <c r="A62" s="10" t="s">
        <v>77</v>
      </c>
      <c r="B62" s="13" t="s">
        <v>176</v>
      </c>
      <c r="C62" s="13"/>
      <c r="D62" s="13" t="s">
        <v>177</v>
      </c>
      <c r="E62" s="13" t="s">
        <v>31</v>
      </c>
      <c r="F62" s="16">
        <v>1.23E-2</v>
      </c>
      <c r="G62" s="13"/>
      <c r="H62" s="13" t="s">
        <v>163</v>
      </c>
      <c r="I62" s="13"/>
      <c r="J62" s="13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</row>
    <row r="63" spans="1:41" ht="20" customHeight="1" outlineLevel="1">
      <c r="A63" s="10" t="s">
        <v>77</v>
      </c>
      <c r="B63" s="13" t="s">
        <v>178</v>
      </c>
      <c r="C63" s="13"/>
      <c r="D63" s="13" t="s">
        <v>179</v>
      </c>
      <c r="E63" s="13" t="s">
        <v>31</v>
      </c>
      <c r="F63" s="16">
        <v>1.34E-2</v>
      </c>
      <c r="G63" s="13"/>
      <c r="H63" s="13" t="s">
        <v>163</v>
      </c>
      <c r="I63" s="13"/>
      <c r="J63" s="13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</row>
    <row r="64" spans="1:41" ht="20" customHeight="1" outlineLevel="1">
      <c r="A64" s="10" t="s">
        <v>77</v>
      </c>
      <c r="B64" s="13" t="s">
        <v>180</v>
      </c>
      <c r="C64" s="13"/>
      <c r="D64" s="13" t="s">
        <v>181</v>
      </c>
      <c r="E64" s="13" t="s">
        <v>31</v>
      </c>
      <c r="F64" s="16">
        <v>1.4500000000000001E-2</v>
      </c>
      <c r="G64" s="13"/>
      <c r="H64" s="13" t="s">
        <v>163</v>
      </c>
      <c r="I64" s="13"/>
      <c r="J64" s="13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</row>
    <row r="65" spans="1:41" ht="20" customHeight="1" outlineLevel="1">
      <c r="A65" s="10" t="s">
        <v>77</v>
      </c>
      <c r="B65" s="13" t="s">
        <v>182</v>
      </c>
      <c r="C65" s="13"/>
      <c r="D65" s="13" t="s">
        <v>183</v>
      </c>
      <c r="E65" s="13" t="s">
        <v>31</v>
      </c>
      <c r="F65" s="16">
        <v>1.5599999999999999E-2</v>
      </c>
      <c r="G65" s="13"/>
      <c r="H65" s="13" t="s">
        <v>163</v>
      </c>
      <c r="I65" s="13"/>
      <c r="J65" s="13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</row>
    <row r="66" spans="1:41" ht="20" customHeight="1" outlineLevel="1">
      <c r="A66" s="10" t="s">
        <v>77</v>
      </c>
      <c r="B66" s="13" t="s">
        <v>184</v>
      </c>
      <c r="C66" s="13"/>
      <c r="D66" s="13" t="s">
        <v>162</v>
      </c>
      <c r="E66" s="13" t="s">
        <v>96</v>
      </c>
      <c r="F66" s="16">
        <v>5.3E-3</v>
      </c>
      <c r="G66" s="13" t="s">
        <v>97</v>
      </c>
      <c r="H66" s="13"/>
      <c r="I66" s="13"/>
      <c r="J66" s="13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</row>
    <row r="67" spans="1:41" ht="20" customHeight="1" outlineLevel="1">
      <c r="A67" s="10" t="s">
        <v>77</v>
      </c>
      <c r="B67" s="13" t="s">
        <v>185</v>
      </c>
      <c r="C67" s="13"/>
      <c r="D67" s="13" t="s">
        <v>165</v>
      </c>
      <c r="E67" s="13" t="s">
        <v>96</v>
      </c>
      <c r="F67" s="16">
        <v>6.1000000000000004E-3</v>
      </c>
      <c r="G67" s="13" t="s">
        <v>97</v>
      </c>
      <c r="H67" s="13"/>
      <c r="I67" s="13"/>
      <c r="J67" s="13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</row>
    <row r="68" spans="1:41" ht="20" customHeight="1" outlineLevel="1">
      <c r="A68" s="10" t="s">
        <v>77</v>
      </c>
      <c r="B68" s="13" t="s">
        <v>186</v>
      </c>
      <c r="C68" s="13"/>
      <c r="D68" s="13" t="s">
        <v>167</v>
      </c>
      <c r="E68" s="13" t="s">
        <v>96</v>
      </c>
      <c r="F68" s="16">
        <v>7.0000000000000001E-3</v>
      </c>
      <c r="G68" s="13" t="s">
        <v>97</v>
      </c>
      <c r="H68" s="13"/>
      <c r="I68" s="13"/>
      <c r="J68" s="13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</row>
    <row r="69" spans="1:41" ht="20" customHeight="1" outlineLevel="1">
      <c r="A69" s="10" t="s">
        <v>77</v>
      </c>
      <c r="B69" s="13" t="s">
        <v>187</v>
      </c>
      <c r="C69" s="13"/>
      <c r="D69" s="13" t="s">
        <v>171</v>
      </c>
      <c r="E69" s="13" t="s">
        <v>103</v>
      </c>
      <c r="F69" s="16">
        <v>9.1999999999999998E-3</v>
      </c>
      <c r="G69" s="13" t="s">
        <v>97</v>
      </c>
      <c r="H69" s="13"/>
      <c r="I69" s="13"/>
      <c r="J69" s="13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</row>
    <row r="70" spans="1:41" ht="20" customHeight="1" outlineLevel="1">
      <c r="A70" s="10" t="s">
        <v>77</v>
      </c>
      <c r="B70" s="13" t="s">
        <v>188</v>
      </c>
      <c r="C70" s="13"/>
      <c r="D70" s="13" t="s">
        <v>177</v>
      </c>
      <c r="E70" s="13" t="s">
        <v>103</v>
      </c>
      <c r="F70" s="16">
        <v>1.2500000000000001E-2</v>
      </c>
      <c r="G70" s="13" t="s">
        <v>97</v>
      </c>
      <c r="H70" s="13"/>
      <c r="I70" s="13"/>
      <c r="J70" s="13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</row>
    <row r="71" spans="1:41" ht="20" customHeight="1" outlineLevel="1">
      <c r="A71" s="10" t="s">
        <v>77</v>
      </c>
      <c r="B71" s="13" t="s">
        <v>189</v>
      </c>
      <c r="C71" s="13"/>
      <c r="D71" s="13" t="s">
        <v>179</v>
      </c>
      <c r="E71" s="13" t="s">
        <v>103</v>
      </c>
      <c r="F71" s="16">
        <v>1.35E-2</v>
      </c>
      <c r="G71" s="13" t="s">
        <v>97</v>
      </c>
      <c r="H71" s="13"/>
      <c r="I71" s="13"/>
      <c r="J71" s="13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</row>
    <row r="72" spans="1:41" ht="20" customHeight="1" outlineLevel="1">
      <c r="A72" s="10" t="s">
        <v>77</v>
      </c>
      <c r="B72" s="13" t="s">
        <v>190</v>
      </c>
      <c r="C72" s="13"/>
      <c r="D72" s="13" t="s">
        <v>181</v>
      </c>
      <c r="E72" s="13" t="s">
        <v>103</v>
      </c>
      <c r="F72" s="16">
        <v>1.46E-2</v>
      </c>
      <c r="G72" s="13" t="s">
        <v>97</v>
      </c>
      <c r="H72" s="13"/>
      <c r="I72" s="13"/>
      <c r="J72" s="13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</row>
    <row r="73" spans="1:41" ht="20" customHeight="1" outlineLevel="1">
      <c r="A73" s="10" t="s">
        <v>77</v>
      </c>
      <c r="B73" s="13" t="s">
        <v>191</v>
      </c>
      <c r="C73" s="13"/>
      <c r="D73" s="13" t="s">
        <v>183</v>
      </c>
      <c r="E73" s="13" t="s">
        <v>103</v>
      </c>
      <c r="F73" s="16">
        <v>1.5699999999999999E-2</v>
      </c>
      <c r="G73" s="13" t="s">
        <v>97</v>
      </c>
      <c r="H73" s="13"/>
      <c r="I73" s="13"/>
      <c r="J73" s="13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</row>
    <row r="74" spans="1:41" ht="20" customHeight="1" outlineLevel="1">
      <c r="A74" s="10" t="s">
        <v>77</v>
      </c>
      <c r="B74" s="13" t="s">
        <v>192</v>
      </c>
      <c r="C74" s="13"/>
      <c r="D74" s="13" t="s">
        <v>10</v>
      </c>
      <c r="E74" s="13" t="s">
        <v>30</v>
      </c>
      <c r="F74" s="16">
        <v>8.9999999999999993E-3</v>
      </c>
      <c r="G74" s="13"/>
      <c r="H74" s="13" t="s">
        <v>163</v>
      </c>
      <c r="I74" s="13"/>
      <c r="J74" s="13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</row>
    <row r="75" spans="1:41" ht="20" customHeight="1" outlineLevel="1">
      <c r="A75" s="10" t="s">
        <v>77</v>
      </c>
      <c r="B75" s="13" t="s">
        <v>193</v>
      </c>
      <c r="C75" s="13"/>
      <c r="D75" s="13" t="s">
        <v>194</v>
      </c>
      <c r="E75" s="13" t="s">
        <v>30</v>
      </c>
      <c r="F75" s="16">
        <v>1.2E-2</v>
      </c>
      <c r="G75" s="13"/>
      <c r="H75" s="13" t="s">
        <v>163</v>
      </c>
      <c r="I75" s="13"/>
      <c r="J75" s="13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</row>
    <row r="76" spans="1:41" ht="20" customHeight="1" outlineLevel="1">
      <c r="A76" s="10" t="s">
        <v>77</v>
      </c>
      <c r="B76" s="13" t="s">
        <v>195</v>
      </c>
      <c r="C76" s="13"/>
      <c r="D76" s="13" t="s">
        <v>24</v>
      </c>
      <c r="E76" s="13" t="s">
        <v>30</v>
      </c>
      <c r="F76" s="16">
        <v>1.3599999999999999E-2</v>
      </c>
      <c r="G76" s="13"/>
      <c r="H76" s="13" t="s">
        <v>163</v>
      </c>
      <c r="I76" s="13"/>
      <c r="J76" s="13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</row>
    <row r="77" spans="1:41" ht="20" customHeight="1" outlineLevel="1">
      <c r="A77" s="10" t="s">
        <v>77</v>
      </c>
      <c r="B77" s="13" t="s">
        <v>196</v>
      </c>
      <c r="C77" s="13"/>
      <c r="D77" s="13" t="s">
        <v>197</v>
      </c>
      <c r="E77" s="13" t="s">
        <v>30</v>
      </c>
      <c r="F77" s="16">
        <v>1.55E-2</v>
      </c>
      <c r="G77" s="13"/>
      <c r="H77" s="13" t="s">
        <v>163</v>
      </c>
      <c r="I77" s="13"/>
      <c r="J77" s="13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</row>
    <row r="78" spans="1:41" ht="20" customHeight="1" outlineLevel="1">
      <c r="A78" s="10" t="s">
        <v>77</v>
      </c>
      <c r="B78" s="13" t="s">
        <v>198</v>
      </c>
      <c r="C78" s="13"/>
      <c r="D78" s="13" t="s">
        <v>199</v>
      </c>
      <c r="E78" s="13" t="s">
        <v>30</v>
      </c>
      <c r="F78" s="16">
        <v>1.7399999999999999E-2</v>
      </c>
      <c r="G78" s="13"/>
      <c r="H78" s="13" t="s">
        <v>163</v>
      </c>
      <c r="I78" s="13"/>
      <c r="J78" s="13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</row>
    <row r="79" spans="1:41" ht="20" customHeight="1" outlineLevel="1">
      <c r="A79" s="10" t="s">
        <v>77</v>
      </c>
      <c r="B79" s="13" t="s">
        <v>200</v>
      </c>
      <c r="C79" s="13"/>
      <c r="D79" s="13" t="s">
        <v>201</v>
      </c>
      <c r="E79" s="13" t="s">
        <v>30</v>
      </c>
      <c r="F79" s="16">
        <v>1.9300000000000001E-2</v>
      </c>
      <c r="G79" s="13"/>
      <c r="H79" s="13" t="s">
        <v>163</v>
      </c>
      <c r="I79" s="13"/>
      <c r="J79" s="13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</row>
    <row r="80" spans="1:41" ht="20" customHeight="1" outlineLevel="1">
      <c r="A80" s="10" t="s">
        <v>77</v>
      </c>
      <c r="B80" s="13" t="s">
        <v>202</v>
      </c>
      <c r="C80" s="13"/>
      <c r="D80" s="13" t="s">
        <v>203</v>
      </c>
      <c r="E80" s="13" t="s">
        <v>31</v>
      </c>
      <c r="F80" s="16">
        <v>2.12E-2</v>
      </c>
      <c r="G80" s="13"/>
      <c r="H80" s="13" t="s">
        <v>163</v>
      </c>
      <c r="I80" s="13"/>
      <c r="J80" s="13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</row>
    <row r="81" spans="1:41" ht="20" customHeight="1" outlineLevel="1">
      <c r="A81" s="10" t="s">
        <v>77</v>
      </c>
      <c r="B81" s="13" t="s">
        <v>204</v>
      </c>
      <c r="C81" s="13"/>
      <c r="D81" s="13" t="s">
        <v>205</v>
      </c>
      <c r="E81" s="13" t="s">
        <v>31</v>
      </c>
      <c r="F81" s="16">
        <v>2.3199999999999998E-2</v>
      </c>
      <c r="G81" s="13"/>
      <c r="H81" s="13" t="s">
        <v>163</v>
      </c>
      <c r="I81" s="13"/>
      <c r="J81" s="13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</row>
    <row r="82" spans="1:41" ht="20" customHeight="1" outlineLevel="1">
      <c r="A82" s="10" t="s">
        <v>77</v>
      </c>
      <c r="B82" s="13" t="s">
        <v>206</v>
      </c>
      <c r="C82" s="13"/>
      <c r="D82" s="13" t="s">
        <v>207</v>
      </c>
      <c r="E82" s="13" t="s">
        <v>31</v>
      </c>
      <c r="F82" s="16">
        <v>2.5100000000000001E-2</v>
      </c>
      <c r="G82" s="13"/>
      <c r="H82" s="13" t="s">
        <v>163</v>
      </c>
      <c r="I82" s="13"/>
      <c r="J82" s="13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</row>
    <row r="83" spans="1:41" ht="20" customHeight="1" outlineLevel="1">
      <c r="A83" s="10" t="s">
        <v>77</v>
      </c>
      <c r="B83" s="13" t="s">
        <v>208</v>
      </c>
      <c r="C83" s="13"/>
      <c r="D83" s="13" t="s">
        <v>209</v>
      </c>
      <c r="E83" s="13" t="s">
        <v>31</v>
      </c>
      <c r="F83" s="16">
        <v>2.7E-2</v>
      </c>
      <c r="G83" s="13"/>
      <c r="H83" s="13" t="s">
        <v>163</v>
      </c>
      <c r="I83" s="13"/>
      <c r="J83" s="13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</row>
    <row r="84" spans="1:41" ht="20" customHeight="1" outlineLevel="1">
      <c r="A84" s="10" t="s">
        <v>77</v>
      </c>
      <c r="B84" s="13" t="s">
        <v>210</v>
      </c>
      <c r="C84" s="13"/>
      <c r="D84" s="13" t="s">
        <v>211</v>
      </c>
      <c r="E84" s="13" t="s">
        <v>31</v>
      </c>
      <c r="F84" s="16">
        <v>2.8899999999999999E-2</v>
      </c>
      <c r="G84" s="13"/>
      <c r="H84" s="13" t="s">
        <v>163</v>
      </c>
      <c r="I84" s="13"/>
      <c r="J84" s="13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</row>
    <row r="85" spans="1:41" ht="20" customHeight="1" outlineLevel="1">
      <c r="A85" s="10" t="s">
        <v>77</v>
      </c>
      <c r="B85" s="13" t="s">
        <v>212</v>
      </c>
      <c r="C85" s="13"/>
      <c r="D85" s="13" t="s">
        <v>213</v>
      </c>
      <c r="E85" s="13" t="s">
        <v>31</v>
      </c>
      <c r="F85" s="16">
        <v>3.1E-2</v>
      </c>
      <c r="G85" s="13"/>
      <c r="H85" s="13" t="s">
        <v>163</v>
      </c>
      <c r="I85" s="13"/>
      <c r="J85" s="13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</row>
    <row r="86" spans="1:41" s="17" customFormat="1" ht="20" customHeight="1" outlineLevel="1">
      <c r="A86" s="10" t="s">
        <v>77</v>
      </c>
      <c r="B86" s="13" t="s">
        <v>214</v>
      </c>
      <c r="C86" s="13"/>
      <c r="D86" s="13" t="s">
        <v>24</v>
      </c>
      <c r="E86" s="13" t="s">
        <v>96</v>
      </c>
      <c r="F86" s="16">
        <v>1.3599999999999999E-2</v>
      </c>
      <c r="G86" s="13" t="s">
        <v>97</v>
      </c>
      <c r="H86" s="13"/>
      <c r="I86" s="13"/>
      <c r="J86" s="13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</row>
    <row r="87" spans="1:41" ht="20" customHeight="1" outlineLevel="1">
      <c r="A87" s="10" t="s">
        <v>77</v>
      </c>
      <c r="B87" s="13" t="s">
        <v>215</v>
      </c>
      <c r="C87" s="13"/>
      <c r="D87" s="13" t="s">
        <v>197</v>
      </c>
      <c r="E87" s="13" t="s">
        <v>96</v>
      </c>
      <c r="F87" s="16">
        <v>1.55E-2</v>
      </c>
      <c r="G87" s="13" t="s">
        <v>97</v>
      </c>
      <c r="H87" s="13"/>
      <c r="I87" s="13"/>
      <c r="J87" s="13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</row>
    <row r="88" spans="1:41" ht="20" customHeight="1" outlineLevel="1">
      <c r="A88" s="10" t="s">
        <v>77</v>
      </c>
      <c r="B88" s="13" t="s">
        <v>216</v>
      </c>
      <c r="C88" s="13"/>
      <c r="D88" s="13" t="s">
        <v>199</v>
      </c>
      <c r="E88" s="13" t="s">
        <v>96</v>
      </c>
      <c r="F88" s="16">
        <v>1.7399999999999999E-2</v>
      </c>
      <c r="G88" s="13" t="s">
        <v>97</v>
      </c>
      <c r="H88" s="13"/>
      <c r="I88" s="13"/>
      <c r="J88" s="13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</row>
    <row r="89" spans="1:41" ht="20" customHeight="1" outlineLevel="1">
      <c r="A89" s="10" t="s">
        <v>77</v>
      </c>
      <c r="B89" s="13" t="s">
        <v>217</v>
      </c>
      <c r="C89" s="13"/>
      <c r="D89" s="13" t="s">
        <v>207</v>
      </c>
      <c r="E89" s="13" t="s">
        <v>103</v>
      </c>
      <c r="F89" s="16">
        <v>2.53E-2</v>
      </c>
      <c r="G89" s="13" t="s">
        <v>97</v>
      </c>
      <c r="H89" s="13"/>
      <c r="I89" s="13"/>
      <c r="J89" s="13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</row>
    <row r="90" spans="1:41" ht="20" customHeight="1" outlineLevel="1">
      <c r="A90" s="10" t="s">
        <v>77</v>
      </c>
      <c r="B90" s="13" t="s">
        <v>218</v>
      </c>
      <c r="C90" s="13"/>
      <c r="D90" s="13" t="s">
        <v>209</v>
      </c>
      <c r="E90" s="13" t="s">
        <v>103</v>
      </c>
      <c r="F90" s="16">
        <v>2.7300000000000001E-2</v>
      </c>
      <c r="G90" s="13" t="s">
        <v>97</v>
      </c>
      <c r="H90" s="13"/>
      <c r="I90" s="13"/>
      <c r="J90" s="13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</row>
    <row r="91" spans="1:41" ht="20" customHeight="1" outlineLevel="1">
      <c r="A91" s="10" t="s">
        <v>77</v>
      </c>
      <c r="B91" s="13" t="s">
        <v>219</v>
      </c>
      <c r="C91" s="13"/>
      <c r="D91" s="13" t="s">
        <v>211</v>
      </c>
      <c r="E91" s="13" t="s">
        <v>103</v>
      </c>
      <c r="F91" s="16">
        <v>2.92E-2</v>
      </c>
      <c r="G91" s="13" t="s">
        <v>97</v>
      </c>
      <c r="H91" s="13"/>
      <c r="I91" s="13"/>
      <c r="J91" s="13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</row>
    <row r="92" spans="1:41" ht="20" customHeight="1" outlineLevel="1">
      <c r="A92" s="10" t="s">
        <v>77</v>
      </c>
      <c r="B92" s="13" t="s">
        <v>220</v>
      </c>
      <c r="C92" s="13"/>
      <c r="D92" s="13" t="s">
        <v>211</v>
      </c>
      <c r="E92" s="13" t="s">
        <v>103</v>
      </c>
      <c r="F92" s="16">
        <v>3.1E-2</v>
      </c>
      <c r="G92" s="13" t="s">
        <v>97</v>
      </c>
      <c r="H92" s="13"/>
      <c r="I92" s="13"/>
      <c r="J92" s="13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</row>
    <row r="93" spans="1:41" ht="20" customHeight="1" outlineLevel="1">
      <c r="A93" s="10" t="s">
        <v>77</v>
      </c>
      <c r="B93" s="13" t="s">
        <v>221</v>
      </c>
      <c r="C93" s="13"/>
      <c r="D93" s="13" t="s">
        <v>222</v>
      </c>
      <c r="E93" s="13" t="s">
        <v>30</v>
      </c>
      <c r="F93" s="16">
        <v>2.3E-2</v>
      </c>
      <c r="G93" s="13"/>
      <c r="H93" s="13" t="s">
        <v>223</v>
      </c>
      <c r="I93" s="13"/>
      <c r="J93" s="13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</row>
    <row r="94" spans="1:41" ht="20" customHeight="1" outlineLevel="1">
      <c r="A94" s="10" t="s">
        <v>77</v>
      </c>
      <c r="B94" s="13" t="s">
        <v>224</v>
      </c>
      <c r="C94" s="13"/>
      <c r="D94" s="13" t="s">
        <v>225</v>
      </c>
      <c r="E94" s="13" t="s">
        <v>30</v>
      </c>
      <c r="F94" s="16">
        <v>2.5999999999999999E-2</v>
      </c>
      <c r="G94" s="13"/>
      <c r="H94" s="13" t="s">
        <v>223</v>
      </c>
      <c r="I94" s="13"/>
      <c r="J94" s="13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</row>
    <row r="95" spans="1:41" ht="20" customHeight="1" outlineLevel="1">
      <c r="A95" s="10" t="s">
        <v>77</v>
      </c>
      <c r="B95" s="13" t="s">
        <v>226</v>
      </c>
      <c r="C95" s="13"/>
      <c r="D95" s="13" t="s">
        <v>227</v>
      </c>
      <c r="E95" s="13" t="s">
        <v>30</v>
      </c>
      <c r="F95" s="16">
        <v>2.9000000000000001E-2</v>
      </c>
      <c r="G95" s="13"/>
      <c r="H95" s="13" t="s">
        <v>223</v>
      </c>
      <c r="I95" s="13"/>
      <c r="J95" s="13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</row>
    <row r="96" spans="1:41" ht="20" customHeight="1" outlineLevel="1">
      <c r="A96" s="10" t="s">
        <v>77</v>
      </c>
      <c r="B96" s="13" t="s">
        <v>228</v>
      </c>
      <c r="C96" s="13"/>
      <c r="D96" s="13" t="s">
        <v>229</v>
      </c>
      <c r="E96" s="13" t="s">
        <v>30</v>
      </c>
      <c r="F96" s="16">
        <v>3.2000000000000001E-2</v>
      </c>
      <c r="G96" s="13"/>
      <c r="H96" s="13" t="s">
        <v>223</v>
      </c>
      <c r="I96" s="13"/>
      <c r="J96" s="13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</row>
    <row r="97" spans="1:41" ht="20" customHeight="1" outlineLevel="1">
      <c r="A97" s="10" t="s">
        <v>77</v>
      </c>
      <c r="B97" s="13" t="s">
        <v>230</v>
      </c>
      <c r="C97" s="13"/>
      <c r="D97" s="13" t="s">
        <v>231</v>
      </c>
      <c r="E97" s="13" t="s">
        <v>30</v>
      </c>
      <c r="F97" s="16">
        <v>3.5000000000000003E-2</v>
      </c>
      <c r="G97" s="13"/>
      <c r="H97" s="13" t="s">
        <v>223</v>
      </c>
      <c r="I97" s="13"/>
      <c r="J97" s="13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</row>
    <row r="98" spans="1:41" ht="20" customHeight="1" outlineLevel="1">
      <c r="A98" s="10" t="s">
        <v>77</v>
      </c>
      <c r="B98" s="13" t="s">
        <v>232</v>
      </c>
      <c r="C98" s="13"/>
      <c r="D98" s="13" t="s">
        <v>233</v>
      </c>
      <c r="E98" s="13" t="s">
        <v>31</v>
      </c>
      <c r="F98" s="16">
        <v>3.7999999999999999E-2</v>
      </c>
      <c r="G98" s="13"/>
      <c r="H98" s="13" t="s">
        <v>223</v>
      </c>
      <c r="I98" s="13"/>
      <c r="J98" s="13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</row>
    <row r="99" spans="1:41" ht="20" customHeight="1" outlineLevel="1">
      <c r="A99" s="10" t="s">
        <v>77</v>
      </c>
      <c r="B99" s="13" t="s">
        <v>234</v>
      </c>
      <c r="C99" s="13"/>
      <c r="D99" s="13" t="s">
        <v>235</v>
      </c>
      <c r="E99" s="13" t="s">
        <v>31</v>
      </c>
      <c r="F99" s="16">
        <v>4.1000000000000002E-2</v>
      </c>
      <c r="G99" s="13"/>
      <c r="H99" s="13" t="s">
        <v>223</v>
      </c>
      <c r="I99" s="13"/>
      <c r="J99" s="13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</row>
    <row r="100" spans="1:41" ht="20" customHeight="1" outlineLevel="1">
      <c r="A100" s="10" t="s">
        <v>77</v>
      </c>
      <c r="B100" s="13" t="s">
        <v>236</v>
      </c>
      <c r="C100" s="13"/>
      <c r="D100" s="13" t="s">
        <v>237</v>
      </c>
      <c r="E100" s="13" t="s">
        <v>31</v>
      </c>
      <c r="F100" s="16">
        <v>4.41E-2</v>
      </c>
      <c r="G100" s="13"/>
      <c r="H100" s="13" t="s">
        <v>223</v>
      </c>
      <c r="I100" s="13"/>
      <c r="J100" s="13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</row>
    <row r="101" spans="1:41" ht="20" customHeight="1" outlineLevel="1">
      <c r="A101" s="10" t="s">
        <v>77</v>
      </c>
      <c r="B101" s="13" t="s">
        <v>238</v>
      </c>
      <c r="C101" s="13"/>
      <c r="D101" s="13" t="s">
        <v>239</v>
      </c>
      <c r="E101" s="13" t="s">
        <v>31</v>
      </c>
      <c r="F101" s="16">
        <v>4.7100000000000003E-2</v>
      </c>
      <c r="G101" s="13"/>
      <c r="H101" s="13" t="s">
        <v>223</v>
      </c>
      <c r="I101" s="13"/>
      <c r="J101" s="13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</row>
    <row r="102" spans="1:41" ht="20" customHeight="1" outlineLevel="1">
      <c r="A102" s="10" t="s">
        <v>77</v>
      </c>
      <c r="B102" s="13" t="s">
        <v>240</v>
      </c>
      <c r="C102" s="13"/>
      <c r="D102" s="13" t="s">
        <v>241</v>
      </c>
      <c r="E102" s="13" t="s">
        <v>31</v>
      </c>
      <c r="F102" s="16">
        <v>5.0099999999999999E-2</v>
      </c>
      <c r="G102" s="13"/>
      <c r="H102" s="13" t="s">
        <v>223</v>
      </c>
      <c r="I102" s="13"/>
      <c r="J102" s="13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</row>
    <row r="103" spans="1:41" ht="20" customHeight="1" outlineLevel="1">
      <c r="A103" s="10" t="s">
        <v>77</v>
      </c>
      <c r="B103" s="13" t="s">
        <v>242</v>
      </c>
      <c r="C103" s="13"/>
      <c r="D103" s="13" t="s">
        <v>243</v>
      </c>
      <c r="E103" s="13" t="s">
        <v>31</v>
      </c>
      <c r="F103" s="16">
        <v>5.3100000000000001E-2</v>
      </c>
      <c r="G103" s="13"/>
      <c r="H103" s="13" t="s">
        <v>223</v>
      </c>
      <c r="I103" s="13"/>
      <c r="J103" s="13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</row>
    <row r="104" spans="1:41" ht="20" customHeight="1" outlineLevel="1">
      <c r="A104" s="10" t="s">
        <v>77</v>
      </c>
      <c r="B104" s="13" t="s">
        <v>244</v>
      </c>
      <c r="C104" s="13"/>
      <c r="D104" s="13" t="s">
        <v>245</v>
      </c>
      <c r="E104" s="13" t="s">
        <v>31</v>
      </c>
      <c r="F104" s="16">
        <v>5.6099999999999997E-2</v>
      </c>
      <c r="G104" s="13"/>
      <c r="H104" s="13" t="s">
        <v>223</v>
      </c>
      <c r="I104" s="13"/>
      <c r="J104" s="13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</row>
    <row r="105" spans="1:41" ht="20" customHeight="1" outlineLevel="1">
      <c r="A105" s="10" t="s">
        <v>77</v>
      </c>
      <c r="B105" s="13" t="s">
        <v>246</v>
      </c>
      <c r="C105" s="13"/>
      <c r="D105" s="13" t="s">
        <v>247</v>
      </c>
      <c r="E105" s="13" t="s">
        <v>31</v>
      </c>
      <c r="F105" s="16">
        <v>5.91E-2</v>
      </c>
      <c r="G105" s="13"/>
      <c r="H105" s="13" t="s">
        <v>223</v>
      </c>
      <c r="I105" s="13"/>
      <c r="J105" s="13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</row>
    <row r="106" spans="1:41" ht="20" customHeight="1" outlineLevel="1">
      <c r="A106" s="10" t="s">
        <v>77</v>
      </c>
      <c r="B106" s="13" t="s">
        <v>248</v>
      </c>
      <c r="C106" s="13"/>
      <c r="D106" s="13" t="s">
        <v>249</v>
      </c>
      <c r="E106" s="13" t="s">
        <v>31</v>
      </c>
      <c r="F106" s="16">
        <v>6.2199999999999998E-2</v>
      </c>
      <c r="G106" s="13"/>
      <c r="H106" s="13" t="s">
        <v>223</v>
      </c>
      <c r="I106" s="13"/>
      <c r="J106" s="13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</row>
    <row r="107" spans="1:41" ht="20" customHeight="1" outlineLevel="1">
      <c r="A107" s="10" t="s">
        <v>77</v>
      </c>
      <c r="B107" s="13" t="s">
        <v>250</v>
      </c>
      <c r="C107" s="13"/>
      <c r="D107" s="13" t="s">
        <v>251</v>
      </c>
      <c r="E107" s="13" t="s">
        <v>31</v>
      </c>
      <c r="F107" s="16">
        <v>6.5199999999999994E-2</v>
      </c>
      <c r="G107" s="13"/>
      <c r="H107" s="13" t="s">
        <v>223</v>
      </c>
      <c r="I107" s="13"/>
      <c r="J107" s="13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</row>
    <row r="108" spans="1:41" ht="20" customHeight="1" outlineLevel="1">
      <c r="A108" s="10" t="s">
        <v>77</v>
      </c>
      <c r="B108" s="13" t="s">
        <v>252</v>
      </c>
      <c r="C108" s="13"/>
      <c r="D108" s="13" t="s">
        <v>253</v>
      </c>
      <c r="E108" s="13" t="s">
        <v>31</v>
      </c>
      <c r="F108" s="16">
        <v>6.8199999999999997E-2</v>
      </c>
      <c r="G108" s="13"/>
      <c r="H108" s="13" t="s">
        <v>223</v>
      </c>
      <c r="I108" s="13"/>
      <c r="J108" s="13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</row>
    <row r="109" spans="1:41" ht="20" customHeight="1" outlineLevel="1">
      <c r="A109" s="10" t="s">
        <v>77</v>
      </c>
      <c r="B109" s="13" t="s">
        <v>254</v>
      </c>
      <c r="C109" s="13"/>
      <c r="D109" s="13" t="s">
        <v>255</v>
      </c>
      <c r="E109" s="13" t="s">
        <v>31</v>
      </c>
      <c r="F109" s="16">
        <v>7.1199999999999999E-2</v>
      </c>
      <c r="G109" s="13"/>
      <c r="H109" s="13" t="s">
        <v>223</v>
      </c>
      <c r="I109" s="13"/>
      <c r="J109" s="13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</row>
    <row r="110" spans="1:41" ht="20" customHeight="1" outlineLevel="1">
      <c r="A110" s="10" t="s">
        <v>77</v>
      </c>
      <c r="B110" s="13" t="s">
        <v>256</v>
      </c>
      <c r="C110" s="13"/>
      <c r="D110" s="13" t="s">
        <v>257</v>
      </c>
      <c r="E110" s="13" t="s">
        <v>31</v>
      </c>
      <c r="F110" s="16">
        <v>7.4200000000000002E-2</v>
      </c>
      <c r="G110" s="13"/>
      <c r="H110" s="13" t="s">
        <v>223</v>
      </c>
      <c r="I110" s="13"/>
      <c r="J110" s="13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</row>
    <row r="111" spans="1:41" ht="20" customHeight="1" outlineLevel="1">
      <c r="A111" s="10" t="s">
        <v>77</v>
      </c>
      <c r="B111" s="13" t="s">
        <v>258</v>
      </c>
      <c r="C111" s="13"/>
      <c r="D111" s="13" t="s">
        <v>259</v>
      </c>
      <c r="E111" s="13" t="s">
        <v>31</v>
      </c>
      <c r="F111" s="16">
        <v>7.7200000000000005E-2</v>
      </c>
      <c r="G111" s="13"/>
      <c r="H111" s="13" t="s">
        <v>223</v>
      </c>
      <c r="I111" s="13"/>
      <c r="J111" s="13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</row>
    <row r="112" spans="1:41" ht="20" customHeight="1" outlineLevel="1">
      <c r="A112" s="10" t="s">
        <v>77</v>
      </c>
      <c r="B112" s="13" t="s">
        <v>260</v>
      </c>
      <c r="C112" s="13"/>
      <c r="D112" s="13" t="s">
        <v>261</v>
      </c>
      <c r="E112" s="13" t="s">
        <v>31</v>
      </c>
      <c r="F112" s="16">
        <v>8.3299999999999999E-2</v>
      </c>
      <c r="G112" s="13"/>
      <c r="H112" s="13" t="s">
        <v>223</v>
      </c>
      <c r="I112" s="13"/>
      <c r="J112" s="13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</row>
    <row r="113" spans="1:41" ht="20" customHeight="1" outlineLevel="1">
      <c r="A113" s="10" t="s">
        <v>77</v>
      </c>
      <c r="B113" s="13" t="s">
        <v>262</v>
      </c>
      <c r="C113" s="13"/>
      <c r="D113" s="13" t="s">
        <v>263</v>
      </c>
      <c r="E113" s="13" t="s">
        <v>31</v>
      </c>
      <c r="F113" s="16">
        <v>8.6300000000000002E-2</v>
      </c>
      <c r="G113" s="13"/>
      <c r="H113" s="13" t="s">
        <v>223</v>
      </c>
      <c r="I113" s="13"/>
      <c r="J113" s="13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</row>
    <row r="114" spans="1:41" ht="20" customHeight="1" outlineLevel="1">
      <c r="A114" s="10" t="s">
        <v>77</v>
      </c>
      <c r="B114" s="13" t="s">
        <v>264</v>
      </c>
      <c r="C114" s="13"/>
      <c r="D114" s="13" t="s">
        <v>265</v>
      </c>
      <c r="E114" s="13" t="s">
        <v>31</v>
      </c>
      <c r="F114" s="16">
        <v>8.9300000000000004E-2</v>
      </c>
      <c r="G114" s="13"/>
      <c r="H114" s="13" t="s">
        <v>223</v>
      </c>
      <c r="I114" s="13"/>
      <c r="J114" s="13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</row>
    <row r="115" spans="1:41" ht="20" customHeight="1" outlineLevel="1">
      <c r="A115" s="10" t="s">
        <v>77</v>
      </c>
      <c r="B115" s="13" t="s">
        <v>266</v>
      </c>
      <c r="C115" s="13"/>
      <c r="D115" s="13" t="s">
        <v>267</v>
      </c>
      <c r="E115" s="13" t="s">
        <v>31</v>
      </c>
      <c r="F115" s="16">
        <v>9.2299999999999993E-2</v>
      </c>
      <c r="G115" s="13"/>
      <c r="H115" s="13" t="s">
        <v>223</v>
      </c>
      <c r="I115" s="13"/>
      <c r="J115" s="13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</row>
    <row r="116" spans="1:41" ht="20" customHeight="1" outlineLevel="1">
      <c r="A116" s="10" t="s">
        <v>77</v>
      </c>
      <c r="B116" s="13" t="s">
        <v>268</v>
      </c>
      <c r="C116" s="13"/>
      <c r="D116" s="13" t="s">
        <v>269</v>
      </c>
      <c r="E116" s="13" t="s">
        <v>31</v>
      </c>
      <c r="F116" s="16">
        <v>9.5299999999999996E-2</v>
      </c>
      <c r="G116" s="13"/>
      <c r="H116" s="13" t="s">
        <v>223</v>
      </c>
      <c r="I116" s="13"/>
      <c r="J116" s="13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</row>
    <row r="117" spans="1:41" ht="20" customHeight="1" outlineLevel="1">
      <c r="A117" s="10" t="s">
        <v>77</v>
      </c>
      <c r="B117" s="13" t="s">
        <v>270</v>
      </c>
      <c r="C117" s="13"/>
      <c r="D117" s="13" t="s">
        <v>271</v>
      </c>
      <c r="E117" s="13" t="s">
        <v>31</v>
      </c>
      <c r="F117" s="16">
        <v>9.8299999999999998E-2</v>
      </c>
      <c r="G117" s="13"/>
      <c r="H117" s="13" t="s">
        <v>223</v>
      </c>
      <c r="I117" s="13"/>
      <c r="J117" s="13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4"/>
      <c r="AO117" s="14"/>
    </row>
    <row r="118" spans="1:41" ht="20" customHeight="1" outlineLevel="1">
      <c r="A118" s="10" t="s">
        <v>77</v>
      </c>
      <c r="B118" s="13" t="s">
        <v>272</v>
      </c>
      <c r="C118" s="13"/>
      <c r="D118" s="13" t="s">
        <v>273</v>
      </c>
      <c r="E118" s="13" t="s">
        <v>31</v>
      </c>
      <c r="F118" s="16">
        <v>0.1014</v>
      </c>
      <c r="G118" s="13"/>
      <c r="H118" s="13" t="s">
        <v>223</v>
      </c>
      <c r="I118" s="13"/>
      <c r="J118" s="13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4"/>
      <c r="AO118" s="14"/>
    </row>
    <row r="119" spans="1:41" ht="20" customHeight="1" outlineLevel="1">
      <c r="A119" s="10" t="s">
        <v>77</v>
      </c>
      <c r="B119" s="13" t="s">
        <v>274</v>
      </c>
      <c r="C119" s="13"/>
      <c r="D119" s="13" t="s">
        <v>275</v>
      </c>
      <c r="E119" s="13" t="s">
        <v>31</v>
      </c>
      <c r="F119" s="16">
        <v>0.10440000000000001</v>
      </c>
      <c r="G119" s="13"/>
      <c r="H119" s="13" t="s">
        <v>223</v>
      </c>
      <c r="I119" s="13"/>
      <c r="J119" s="13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</row>
    <row r="120" spans="1:41" ht="20" customHeight="1" outlineLevel="1">
      <c r="A120" s="10" t="s">
        <v>77</v>
      </c>
      <c r="B120" s="13" t="s">
        <v>276</v>
      </c>
      <c r="C120" s="13"/>
      <c r="D120" s="13" t="s">
        <v>277</v>
      </c>
      <c r="E120" s="13" t="s">
        <v>31</v>
      </c>
      <c r="F120" s="16">
        <v>0.1074</v>
      </c>
      <c r="G120" s="13"/>
      <c r="H120" s="13" t="s">
        <v>223</v>
      </c>
      <c r="I120" s="13"/>
      <c r="J120" s="13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4"/>
      <c r="AO120" s="14"/>
    </row>
    <row r="121" spans="1:41" ht="20" customHeight="1" outlineLevel="1">
      <c r="A121" s="10" t="s">
        <v>77</v>
      </c>
      <c r="B121" s="13" t="s">
        <v>278</v>
      </c>
      <c r="C121" s="13"/>
      <c r="D121" s="13" t="s">
        <v>279</v>
      </c>
      <c r="E121" s="13" t="s">
        <v>31</v>
      </c>
      <c r="F121" s="16">
        <v>0.123</v>
      </c>
      <c r="G121" s="13"/>
      <c r="H121" s="13" t="s">
        <v>223</v>
      </c>
      <c r="I121" s="13"/>
      <c r="J121" s="13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4"/>
      <c r="AO121" s="14"/>
    </row>
    <row r="122" spans="1:41" ht="20" customHeight="1" outlineLevel="1">
      <c r="A122" s="10" t="s">
        <v>77</v>
      </c>
      <c r="B122" s="13" t="s">
        <v>280</v>
      </c>
      <c r="C122" s="13"/>
      <c r="D122" s="13" t="s">
        <v>233</v>
      </c>
      <c r="E122" s="13" t="s">
        <v>103</v>
      </c>
      <c r="F122" s="16">
        <v>3.8399999999999997E-2</v>
      </c>
      <c r="G122" s="13" t="s">
        <v>97</v>
      </c>
      <c r="H122" s="13"/>
      <c r="I122" s="13"/>
      <c r="J122" s="13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4"/>
      <c r="AO122" s="14"/>
    </row>
    <row r="123" spans="1:41" ht="20" customHeight="1" outlineLevel="1">
      <c r="A123" s="10" t="s">
        <v>77</v>
      </c>
      <c r="B123" s="13" t="s">
        <v>281</v>
      </c>
      <c r="C123" s="13"/>
      <c r="D123" s="13" t="s">
        <v>235</v>
      </c>
      <c r="E123" s="13" t="s">
        <v>103</v>
      </c>
      <c r="F123" s="16">
        <v>4.1500000000000002E-2</v>
      </c>
      <c r="G123" s="13" t="s">
        <v>97</v>
      </c>
      <c r="H123" s="13"/>
      <c r="I123" s="13"/>
      <c r="J123" s="13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4"/>
      <c r="AO123" s="14"/>
    </row>
    <row r="124" spans="1:41" ht="20" customHeight="1" outlineLevel="1">
      <c r="A124" s="10" t="s">
        <v>77</v>
      </c>
      <c r="B124" s="13" t="s">
        <v>282</v>
      </c>
      <c r="C124" s="13"/>
      <c r="D124" s="13" t="s">
        <v>237</v>
      </c>
      <c r="E124" s="13" t="s">
        <v>103</v>
      </c>
      <c r="F124" s="16">
        <v>4.4499999999999998E-2</v>
      </c>
      <c r="G124" s="13" t="s">
        <v>97</v>
      </c>
      <c r="H124" s="13"/>
      <c r="I124" s="13"/>
      <c r="J124" s="13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</row>
    <row r="125" spans="1:41" ht="20" customHeight="1" outlineLevel="1">
      <c r="A125" s="10" t="s">
        <v>77</v>
      </c>
      <c r="B125" s="13" t="s">
        <v>283</v>
      </c>
      <c r="C125" s="13"/>
      <c r="D125" s="13" t="s">
        <v>239</v>
      </c>
      <c r="E125" s="13" t="s">
        <v>103</v>
      </c>
      <c r="F125" s="16">
        <v>4.7600000000000003E-2</v>
      </c>
      <c r="G125" s="13" t="s">
        <v>97</v>
      </c>
      <c r="H125" s="13"/>
      <c r="I125" s="13"/>
      <c r="J125" s="13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</row>
    <row r="126" spans="1:41" ht="20" customHeight="1" outlineLevel="1">
      <c r="A126" s="10" t="s">
        <v>77</v>
      </c>
      <c r="B126" s="13" t="s">
        <v>284</v>
      </c>
      <c r="C126" s="13"/>
      <c r="D126" s="13" t="s">
        <v>241</v>
      </c>
      <c r="E126" s="13" t="s">
        <v>103</v>
      </c>
      <c r="F126" s="16">
        <v>5.0599999999999999E-2</v>
      </c>
      <c r="G126" s="13" t="s">
        <v>97</v>
      </c>
      <c r="H126" s="13"/>
      <c r="I126" s="13"/>
      <c r="J126" s="13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4"/>
      <c r="AO126" s="14"/>
    </row>
    <row r="127" spans="1:41" ht="20" customHeight="1" outlineLevel="1">
      <c r="A127" s="10" t="s">
        <v>77</v>
      </c>
      <c r="B127" s="13" t="s">
        <v>285</v>
      </c>
      <c r="C127" s="13"/>
      <c r="D127" s="13" t="s">
        <v>243</v>
      </c>
      <c r="E127" s="13" t="s">
        <v>103</v>
      </c>
      <c r="F127" s="16">
        <v>5.3699999999999998E-2</v>
      </c>
      <c r="G127" s="13" t="s">
        <v>97</v>
      </c>
      <c r="H127" s="13"/>
      <c r="I127" s="13"/>
      <c r="J127" s="13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4"/>
      <c r="AO127" s="14"/>
    </row>
    <row r="128" spans="1:41" ht="20" customHeight="1" outlineLevel="1">
      <c r="A128" s="10" t="s">
        <v>77</v>
      </c>
      <c r="B128" s="13" t="s">
        <v>286</v>
      </c>
      <c r="C128" s="13"/>
      <c r="D128" s="13" t="s">
        <v>245</v>
      </c>
      <c r="E128" s="13" t="s">
        <v>103</v>
      </c>
      <c r="F128" s="16">
        <v>5.67E-2</v>
      </c>
      <c r="G128" s="13" t="s">
        <v>97</v>
      </c>
      <c r="H128" s="13"/>
      <c r="I128" s="13"/>
      <c r="J128" s="13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  <c r="AK128" s="14"/>
      <c r="AL128" s="14"/>
      <c r="AM128" s="14"/>
      <c r="AN128" s="14"/>
      <c r="AO128" s="14"/>
    </row>
    <row r="129" spans="1:41" ht="20" customHeight="1" outlineLevel="1">
      <c r="A129" s="10" t="s">
        <v>77</v>
      </c>
      <c r="B129" s="13" t="s">
        <v>287</v>
      </c>
      <c r="C129" s="13"/>
      <c r="D129" s="13" t="s">
        <v>247</v>
      </c>
      <c r="E129" s="13" t="s">
        <v>103</v>
      </c>
      <c r="F129" s="16">
        <v>5.9700000000000003E-2</v>
      </c>
      <c r="G129" s="13" t="s">
        <v>97</v>
      </c>
      <c r="H129" s="13"/>
      <c r="I129" s="13"/>
      <c r="J129" s="13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  <c r="AK129" s="14"/>
      <c r="AL129" s="14"/>
      <c r="AM129" s="14"/>
      <c r="AN129" s="14"/>
      <c r="AO129" s="14"/>
    </row>
    <row r="130" spans="1:41" ht="20" customHeight="1" outlineLevel="1">
      <c r="A130" s="10" t="s">
        <v>77</v>
      </c>
      <c r="B130" s="13" t="s">
        <v>288</v>
      </c>
      <c r="C130" s="13"/>
      <c r="D130" s="13" t="s">
        <v>249</v>
      </c>
      <c r="E130" s="13" t="s">
        <v>103</v>
      </c>
      <c r="F130" s="16">
        <v>6.2799999999999995E-2</v>
      </c>
      <c r="G130" s="13" t="s">
        <v>97</v>
      </c>
      <c r="H130" s="13"/>
      <c r="I130" s="13"/>
      <c r="J130" s="13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</row>
    <row r="131" spans="1:41" ht="20" customHeight="1" outlineLevel="1">
      <c r="A131" s="10" t="s">
        <v>77</v>
      </c>
      <c r="B131" s="13" t="s">
        <v>289</v>
      </c>
      <c r="C131" s="13"/>
      <c r="D131" s="13" t="s">
        <v>251</v>
      </c>
      <c r="E131" s="13" t="s">
        <v>103</v>
      </c>
      <c r="F131" s="16">
        <v>6.5799999999999997E-2</v>
      </c>
      <c r="G131" s="13" t="s">
        <v>97</v>
      </c>
      <c r="H131" s="13"/>
      <c r="I131" s="13"/>
      <c r="J131" s="13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  <c r="AK131" s="14"/>
      <c r="AL131" s="14"/>
      <c r="AM131" s="14"/>
      <c r="AN131" s="14"/>
      <c r="AO131" s="14"/>
    </row>
    <row r="132" spans="1:41" ht="20" customHeight="1" outlineLevel="1">
      <c r="A132" s="10" t="s">
        <v>77</v>
      </c>
      <c r="B132" s="13" t="s">
        <v>290</v>
      </c>
      <c r="C132" s="13"/>
      <c r="D132" s="13" t="s">
        <v>253</v>
      </c>
      <c r="E132" s="13" t="s">
        <v>103</v>
      </c>
      <c r="F132" s="16">
        <v>6.8900000000000003E-2</v>
      </c>
      <c r="G132" s="13" t="s">
        <v>97</v>
      </c>
      <c r="H132" s="13"/>
      <c r="I132" s="13"/>
      <c r="J132" s="13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  <c r="AK132" s="14"/>
      <c r="AL132" s="14"/>
      <c r="AM132" s="14"/>
      <c r="AN132" s="14"/>
      <c r="AO132" s="14"/>
    </row>
    <row r="133" spans="1:41" ht="20" customHeight="1" outlineLevel="1">
      <c r="A133" s="10" t="s">
        <v>77</v>
      </c>
      <c r="B133" s="13" t="s">
        <v>291</v>
      </c>
      <c r="C133" s="13"/>
      <c r="D133" s="13" t="s">
        <v>255</v>
      </c>
      <c r="E133" s="13" t="s">
        <v>103</v>
      </c>
      <c r="F133" s="16">
        <v>7.1900000000000006E-2</v>
      </c>
      <c r="G133" s="13" t="s">
        <v>97</v>
      </c>
      <c r="H133" s="13"/>
      <c r="I133" s="13"/>
      <c r="J133" s="13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  <c r="AK133" s="14"/>
      <c r="AL133" s="14"/>
      <c r="AM133" s="14"/>
      <c r="AN133" s="14"/>
      <c r="AO133" s="14"/>
    </row>
    <row r="134" spans="1:41" ht="20" customHeight="1" outlineLevel="1">
      <c r="A134" s="10" t="s">
        <v>77</v>
      </c>
      <c r="B134" s="13" t="s">
        <v>292</v>
      </c>
      <c r="C134" s="13"/>
      <c r="D134" s="13" t="s">
        <v>257</v>
      </c>
      <c r="E134" s="13" t="s">
        <v>103</v>
      </c>
      <c r="F134" s="16">
        <v>7.4999999999999997E-2</v>
      </c>
      <c r="G134" s="13" t="s">
        <v>97</v>
      </c>
      <c r="H134" s="13"/>
      <c r="I134" s="13"/>
      <c r="J134" s="13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  <c r="AK134" s="14"/>
      <c r="AL134" s="14"/>
      <c r="AM134" s="14"/>
      <c r="AN134" s="14"/>
      <c r="AO134" s="14"/>
    </row>
    <row r="135" spans="1:41" ht="20" customHeight="1" outlineLevel="1">
      <c r="A135" s="10" t="s">
        <v>77</v>
      </c>
      <c r="B135" s="13" t="s">
        <v>293</v>
      </c>
      <c r="C135" s="13"/>
      <c r="D135" s="13" t="s">
        <v>259</v>
      </c>
      <c r="E135" s="13" t="s">
        <v>103</v>
      </c>
      <c r="F135" s="16">
        <v>7.8E-2</v>
      </c>
      <c r="G135" s="13" t="s">
        <v>97</v>
      </c>
      <c r="H135" s="13"/>
      <c r="I135" s="13"/>
      <c r="J135" s="13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  <c r="AK135" s="14"/>
      <c r="AL135" s="14"/>
      <c r="AM135" s="14"/>
      <c r="AN135" s="14"/>
      <c r="AO135" s="14"/>
    </row>
    <row r="136" spans="1:41" ht="20" customHeight="1" outlineLevel="1">
      <c r="A136" s="10" t="s">
        <v>77</v>
      </c>
      <c r="B136" s="13" t="s">
        <v>294</v>
      </c>
      <c r="C136" s="13"/>
      <c r="D136" s="13" t="s">
        <v>295</v>
      </c>
      <c r="E136" s="13" t="s">
        <v>103</v>
      </c>
      <c r="F136" s="16">
        <v>8.1100000000000005E-2</v>
      </c>
      <c r="G136" s="13" t="s">
        <v>97</v>
      </c>
      <c r="H136" s="13"/>
      <c r="I136" s="13"/>
      <c r="J136" s="13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  <c r="AK136" s="14"/>
      <c r="AL136" s="14"/>
      <c r="AM136" s="14"/>
      <c r="AN136" s="14"/>
      <c r="AO136" s="14"/>
    </row>
    <row r="137" spans="1:41" ht="20" customHeight="1" outlineLevel="1">
      <c r="A137" s="10" t="s">
        <v>77</v>
      </c>
      <c r="B137" s="13" t="s">
        <v>296</v>
      </c>
      <c r="C137" s="13"/>
      <c r="D137" s="13" t="s">
        <v>261</v>
      </c>
      <c r="E137" s="13" t="s">
        <v>103</v>
      </c>
      <c r="F137" s="16">
        <v>8.4099999999999994E-2</v>
      </c>
      <c r="G137" s="13" t="s">
        <v>97</v>
      </c>
      <c r="H137" s="13"/>
      <c r="I137" s="13"/>
      <c r="J137" s="13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</row>
    <row r="138" spans="1:41" ht="20" customHeight="1" outlineLevel="1">
      <c r="A138" s="10" t="s">
        <v>77</v>
      </c>
      <c r="B138" s="13" t="s">
        <v>297</v>
      </c>
      <c r="C138" s="13"/>
      <c r="D138" s="13" t="s">
        <v>263</v>
      </c>
      <c r="E138" s="13" t="s">
        <v>103</v>
      </c>
      <c r="F138" s="16">
        <v>8.72E-2</v>
      </c>
      <c r="G138" s="13" t="s">
        <v>97</v>
      </c>
      <c r="H138" s="13"/>
      <c r="I138" s="13"/>
      <c r="J138" s="13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  <c r="AK138" s="14"/>
      <c r="AL138" s="14"/>
      <c r="AM138" s="14"/>
      <c r="AN138" s="14"/>
      <c r="AO138" s="14"/>
    </row>
    <row r="139" spans="1:41" ht="20" customHeight="1" outlineLevel="1">
      <c r="A139" s="10" t="s">
        <v>77</v>
      </c>
      <c r="B139" s="13" t="s">
        <v>298</v>
      </c>
      <c r="C139" s="13"/>
      <c r="D139" s="13" t="s">
        <v>265</v>
      </c>
      <c r="E139" s="13" t="s">
        <v>103</v>
      </c>
      <c r="F139" s="16">
        <v>9.0200000000000002E-2</v>
      </c>
      <c r="G139" s="13" t="s">
        <v>97</v>
      </c>
      <c r="H139" s="13"/>
      <c r="I139" s="13"/>
      <c r="J139" s="13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</row>
    <row r="140" spans="1:41" ht="20" customHeight="1" outlineLevel="1">
      <c r="A140" s="10" t="s">
        <v>77</v>
      </c>
      <c r="B140" s="13" t="s">
        <v>299</v>
      </c>
      <c r="C140" s="13"/>
      <c r="D140" s="13" t="s">
        <v>267</v>
      </c>
      <c r="E140" s="13" t="s">
        <v>103</v>
      </c>
      <c r="F140" s="16">
        <v>9.3200000000000005E-2</v>
      </c>
      <c r="G140" s="13" t="s">
        <v>97</v>
      </c>
      <c r="H140" s="13"/>
      <c r="I140" s="13"/>
      <c r="J140" s="13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  <c r="AK140" s="14"/>
      <c r="AL140" s="14"/>
      <c r="AM140" s="14"/>
      <c r="AN140" s="14"/>
      <c r="AO140" s="14"/>
    </row>
    <row r="141" spans="1:41" ht="20" customHeight="1" outlineLevel="1">
      <c r="A141" s="10" t="s">
        <v>77</v>
      </c>
      <c r="B141" s="13" t="s">
        <v>300</v>
      </c>
      <c r="C141" s="13"/>
      <c r="D141" s="13" t="s">
        <v>269</v>
      </c>
      <c r="E141" s="13" t="s">
        <v>103</v>
      </c>
      <c r="F141" s="16">
        <v>9.6299999999999997E-2</v>
      </c>
      <c r="G141" s="13" t="s">
        <v>97</v>
      </c>
      <c r="H141" s="13"/>
      <c r="I141" s="13"/>
      <c r="J141" s="13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  <c r="AK141" s="14"/>
      <c r="AL141" s="14"/>
      <c r="AM141" s="14"/>
      <c r="AN141" s="14"/>
      <c r="AO141" s="14"/>
    </row>
    <row r="142" spans="1:41" ht="20" customHeight="1" outlineLevel="1">
      <c r="A142" s="10" t="s">
        <v>77</v>
      </c>
      <c r="B142" s="13" t="s">
        <v>301</v>
      </c>
      <c r="C142" s="13"/>
      <c r="D142" s="13" t="s">
        <v>271</v>
      </c>
      <c r="E142" s="13" t="s">
        <v>103</v>
      </c>
      <c r="F142" s="16">
        <v>9.9299999999999999E-2</v>
      </c>
      <c r="G142" s="13" t="s">
        <v>97</v>
      </c>
      <c r="H142" s="13"/>
      <c r="I142" s="13"/>
      <c r="J142" s="13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  <c r="AK142" s="14"/>
      <c r="AL142" s="14"/>
      <c r="AM142" s="14"/>
      <c r="AN142" s="14"/>
      <c r="AO142" s="14"/>
    </row>
    <row r="143" spans="1:41" ht="20" customHeight="1" outlineLevel="1">
      <c r="A143" s="10" t="s">
        <v>77</v>
      </c>
      <c r="B143" s="13" t="s">
        <v>302</v>
      </c>
      <c r="C143" s="13"/>
      <c r="D143" s="13" t="s">
        <v>273</v>
      </c>
      <c r="E143" s="13" t="s">
        <v>103</v>
      </c>
      <c r="F143" s="16">
        <v>0.1024</v>
      </c>
      <c r="G143" s="13" t="s">
        <v>97</v>
      </c>
      <c r="H143" s="13"/>
      <c r="I143" s="13"/>
      <c r="J143" s="13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  <c r="AK143" s="14"/>
      <c r="AL143" s="14"/>
      <c r="AM143" s="14"/>
      <c r="AN143" s="14"/>
      <c r="AO143" s="14"/>
    </row>
    <row r="144" spans="1:41" ht="20" customHeight="1" outlineLevel="1">
      <c r="A144" s="10" t="s">
        <v>77</v>
      </c>
      <c r="B144" s="13" t="s">
        <v>303</v>
      </c>
      <c r="C144" s="13"/>
      <c r="D144" s="13" t="s">
        <v>275</v>
      </c>
      <c r="E144" s="13" t="s">
        <v>103</v>
      </c>
      <c r="F144" s="16">
        <v>0.10539999999999999</v>
      </c>
      <c r="G144" s="13" t="s">
        <v>97</v>
      </c>
      <c r="H144" s="13"/>
      <c r="I144" s="13"/>
      <c r="J144" s="13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  <c r="AK144" s="14"/>
      <c r="AL144" s="14"/>
      <c r="AM144" s="14"/>
      <c r="AN144" s="14"/>
      <c r="AO144" s="14"/>
    </row>
    <row r="145" spans="1:41" ht="20" customHeight="1" outlineLevel="1">
      <c r="A145" s="10" t="s">
        <v>77</v>
      </c>
      <c r="B145" s="13" t="s">
        <v>304</v>
      </c>
      <c r="C145" s="13"/>
      <c r="D145" s="13" t="s">
        <v>277</v>
      </c>
      <c r="E145" s="13" t="s">
        <v>103</v>
      </c>
      <c r="F145" s="16">
        <v>0.1085</v>
      </c>
      <c r="G145" s="13" t="s">
        <v>97</v>
      </c>
      <c r="H145" s="13"/>
      <c r="I145" s="13"/>
      <c r="J145" s="13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</row>
    <row r="146" spans="1:41" ht="20" customHeight="1" outlineLevel="1">
      <c r="A146" s="10" t="s">
        <v>77</v>
      </c>
      <c r="B146" s="13" t="s">
        <v>305</v>
      </c>
      <c r="C146" s="13"/>
      <c r="D146" s="13" t="s">
        <v>306</v>
      </c>
      <c r="E146" s="13" t="s">
        <v>30</v>
      </c>
      <c r="F146" s="16">
        <v>3.3599999999999998E-2</v>
      </c>
      <c r="G146" s="13"/>
      <c r="H146" s="13" t="s">
        <v>223</v>
      </c>
      <c r="I146" s="13"/>
      <c r="J146" s="13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  <c r="AK146" s="14"/>
      <c r="AL146" s="14"/>
      <c r="AM146" s="14"/>
      <c r="AN146" s="14"/>
      <c r="AO146" s="14"/>
    </row>
    <row r="147" spans="1:41" ht="20" customHeight="1" outlineLevel="1">
      <c r="A147" s="10" t="s">
        <v>77</v>
      </c>
      <c r="B147" s="13" t="s">
        <v>307</v>
      </c>
      <c r="C147" s="13"/>
      <c r="D147" s="13" t="s">
        <v>308</v>
      </c>
      <c r="E147" s="13" t="s">
        <v>30</v>
      </c>
      <c r="F147" s="16">
        <v>3.7900000000000003E-2</v>
      </c>
      <c r="G147" s="13"/>
      <c r="H147" s="13" t="s">
        <v>223</v>
      </c>
      <c r="I147" s="13"/>
      <c r="J147" s="13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</row>
    <row r="148" spans="1:41" ht="20" customHeight="1" outlineLevel="1">
      <c r="A148" s="10" t="s">
        <v>77</v>
      </c>
      <c r="B148" s="13" t="s">
        <v>309</v>
      </c>
      <c r="C148" s="13"/>
      <c r="D148" s="13" t="s">
        <v>310</v>
      </c>
      <c r="E148" s="13" t="s">
        <v>30</v>
      </c>
      <c r="F148" s="16">
        <v>4.2200000000000001E-2</v>
      </c>
      <c r="G148" s="13"/>
      <c r="H148" s="13" t="s">
        <v>223</v>
      </c>
      <c r="I148" s="13"/>
      <c r="J148" s="13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  <c r="AK148" s="14"/>
      <c r="AL148" s="14"/>
      <c r="AM148" s="14"/>
      <c r="AN148" s="14"/>
      <c r="AO148" s="14"/>
    </row>
    <row r="149" spans="1:41" ht="20" customHeight="1" outlineLevel="1">
      <c r="A149" s="10" t="s">
        <v>77</v>
      </c>
      <c r="B149" s="13" t="s">
        <v>311</v>
      </c>
      <c r="C149" s="13"/>
      <c r="D149" s="13" t="s">
        <v>312</v>
      </c>
      <c r="E149" s="13" t="s">
        <v>30</v>
      </c>
      <c r="F149" s="16">
        <v>4.6600000000000003E-2</v>
      </c>
      <c r="G149" s="13"/>
      <c r="H149" s="13" t="s">
        <v>223</v>
      </c>
      <c r="I149" s="13"/>
      <c r="J149" s="13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  <c r="AK149" s="14"/>
      <c r="AL149" s="14"/>
      <c r="AM149" s="14"/>
      <c r="AN149" s="14"/>
      <c r="AO149" s="14"/>
    </row>
    <row r="150" spans="1:41" ht="20" customHeight="1" outlineLevel="1">
      <c r="A150" s="10" t="s">
        <v>77</v>
      </c>
      <c r="B150" s="13" t="s">
        <v>313</v>
      </c>
      <c r="C150" s="13"/>
      <c r="D150" s="13" t="s">
        <v>314</v>
      </c>
      <c r="E150" s="13" t="s">
        <v>30</v>
      </c>
      <c r="F150" s="16">
        <v>5.0900000000000001E-2</v>
      </c>
      <c r="G150" s="13"/>
      <c r="H150" s="13" t="s">
        <v>223</v>
      </c>
      <c r="I150" s="13"/>
      <c r="J150" s="13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</row>
    <row r="151" spans="1:41" ht="20" customHeight="1" outlineLevel="1">
      <c r="A151" s="10" t="s">
        <v>77</v>
      </c>
      <c r="B151" s="13" t="s">
        <v>315</v>
      </c>
      <c r="C151" s="13"/>
      <c r="D151" s="13" t="s">
        <v>316</v>
      </c>
      <c r="E151" s="13" t="s">
        <v>30</v>
      </c>
      <c r="F151" s="16">
        <v>5.5300000000000002E-2</v>
      </c>
      <c r="G151" s="13"/>
      <c r="H151" s="13" t="s">
        <v>223</v>
      </c>
      <c r="I151" s="13"/>
      <c r="J151" s="13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</row>
    <row r="152" spans="1:41" ht="20" customHeight="1" outlineLevel="1">
      <c r="A152" s="10" t="s">
        <v>77</v>
      </c>
      <c r="B152" s="13" t="s">
        <v>317</v>
      </c>
      <c r="C152" s="13"/>
      <c r="D152" s="13" t="s">
        <v>318</v>
      </c>
      <c r="E152" s="13" t="s">
        <v>31</v>
      </c>
      <c r="F152" s="16">
        <v>5.96E-2</v>
      </c>
      <c r="G152" s="13"/>
      <c r="H152" s="13" t="s">
        <v>223</v>
      </c>
      <c r="I152" s="13"/>
      <c r="J152" s="13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  <c r="AK152" s="14"/>
      <c r="AL152" s="14"/>
      <c r="AM152" s="14"/>
      <c r="AN152" s="14"/>
      <c r="AO152" s="14"/>
    </row>
    <row r="153" spans="1:41" ht="20" customHeight="1" outlineLevel="1">
      <c r="A153" s="10" t="s">
        <v>77</v>
      </c>
      <c r="B153" s="13" t="s">
        <v>319</v>
      </c>
      <c r="C153" s="13"/>
      <c r="D153" s="13" t="s">
        <v>320</v>
      </c>
      <c r="E153" s="13" t="s">
        <v>31</v>
      </c>
      <c r="F153" s="16">
        <v>6.3899999999999998E-2</v>
      </c>
      <c r="G153" s="13"/>
      <c r="H153" s="13" t="s">
        <v>223</v>
      </c>
      <c r="I153" s="13"/>
      <c r="J153" s="13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</row>
    <row r="154" spans="1:41" ht="20" customHeight="1" outlineLevel="1">
      <c r="A154" s="10" t="s">
        <v>77</v>
      </c>
      <c r="B154" s="13" t="s">
        <v>321</v>
      </c>
      <c r="C154" s="13"/>
      <c r="D154" s="13" t="s">
        <v>322</v>
      </c>
      <c r="E154" s="13" t="s">
        <v>31</v>
      </c>
      <c r="F154" s="16">
        <v>6.83E-2</v>
      </c>
      <c r="G154" s="13"/>
      <c r="H154" s="13" t="s">
        <v>223</v>
      </c>
      <c r="I154" s="13"/>
      <c r="J154" s="13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</row>
    <row r="155" spans="1:41" ht="20" customHeight="1" outlineLevel="1">
      <c r="A155" s="10" t="s">
        <v>77</v>
      </c>
      <c r="B155" s="13" t="s">
        <v>323</v>
      </c>
      <c r="C155" s="13"/>
      <c r="D155" s="13" t="s">
        <v>324</v>
      </c>
      <c r="E155" s="13" t="s">
        <v>31</v>
      </c>
      <c r="F155" s="16">
        <v>7.2599999999999998E-2</v>
      </c>
      <c r="G155" s="13"/>
      <c r="H155" s="13" t="s">
        <v>223</v>
      </c>
      <c r="I155" s="13"/>
      <c r="J155" s="13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</row>
    <row r="156" spans="1:41" ht="20" customHeight="1" outlineLevel="1">
      <c r="A156" s="10" t="s">
        <v>77</v>
      </c>
      <c r="B156" s="13" t="s">
        <v>325</v>
      </c>
      <c r="C156" s="13"/>
      <c r="D156" s="13" t="s">
        <v>20</v>
      </c>
      <c r="E156" s="13" t="s">
        <v>31</v>
      </c>
      <c r="F156" s="16">
        <v>7.6999999999999999E-2</v>
      </c>
      <c r="G156" s="13"/>
      <c r="H156" s="13" t="s">
        <v>223</v>
      </c>
      <c r="I156" s="13"/>
      <c r="J156" s="13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</row>
    <row r="157" spans="1:41" ht="20" customHeight="1" outlineLevel="1">
      <c r="A157" s="10" t="s">
        <v>77</v>
      </c>
      <c r="B157" s="13" t="s">
        <v>326</v>
      </c>
      <c r="C157" s="13"/>
      <c r="D157" s="13" t="s">
        <v>327</v>
      </c>
      <c r="E157" s="13" t="s">
        <v>31</v>
      </c>
      <c r="F157" s="16">
        <v>8.1299999999999997E-2</v>
      </c>
      <c r="G157" s="13"/>
      <c r="H157" s="13" t="s">
        <v>223</v>
      </c>
      <c r="I157" s="13"/>
      <c r="J157" s="13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</row>
    <row r="158" spans="1:41" ht="20" customHeight="1" outlineLevel="1">
      <c r="A158" s="10" t="s">
        <v>77</v>
      </c>
      <c r="B158" s="13" t="s">
        <v>328</v>
      </c>
      <c r="C158" s="13"/>
      <c r="D158" s="13" t="s">
        <v>329</v>
      </c>
      <c r="E158" s="13" t="s">
        <v>31</v>
      </c>
      <c r="F158" s="16">
        <v>8.5599999999999996E-2</v>
      </c>
      <c r="G158" s="13"/>
      <c r="H158" s="13" t="s">
        <v>223</v>
      </c>
      <c r="I158" s="13"/>
      <c r="J158" s="13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</row>
    <row r="159" spans="1:41" ht="20" customHeight="1" outlineLevel="1">
      <c r="A159" s="10" t="s">
        <v>77</v>
      </c>
      <c r="B159" s="13" t="s">
        <v>330</v>
      </c>
      <c r="C159" s="13"/>
      <c r="D159" s="13" t="s">
        <v>331</v>
      </c>
      <c r="E159" s="13" t="s">
        <v>31</v>
      </c>
      <c r="F159" s="16">
        <v>0.09</v>
      </c>
      <c r="G159" s="13"/>
      <c r="H159" s="13" t="s">
        <v>223</v>
      </c>
      <c r="I159" s="13"/>
      <c r="J159" s="13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</row>
    <row r="160" spans="1:41" ht="20" customHeight="1" outlineLevel="1">
      <c r="A160" s="10" t="s">
        <v>77</v>
      </c>
      <c r="B160" s="13" t="s">
        <v>332</v>
      </c>
      <c r="C160" s="13"/>
      <c r="D160" s="13" t="s">
        <v>333</v>
      </c>
      <c r="E160" s="13" t="s">
        <v>31</v>
      </c>
      <c r="F160" s="16">
        <v>9.4299999999999995E-2</v>
      </c>
      <c r="G160" s="13"/>
      <c r="H160" s="13" t="s">
        <v>223</v>
      </c>
      <c r="I160" s="13"/>
      <c r="J160" s="13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</row>
    <row r="161" spans="1:41" ht="20" customHeight="1" outlineLevel="1">
      <c r="A161" s="10" t="s">
        <v>77</v>
      </c>
      <c r="B161" s="13" t="s">
        <v>334</v>
      </c>
      <c r="C161" s="13"/>
      <c r="D161" s="13" t="s">
        <v>335</v>
      </c>
      <c r="E161" s="13" t="s">
        <v>31</v>
      </c>
      <c r="F161" s="16">
        <v>9.8699999999999996E-2</v>
      </c>
      <c r="G161" s="13"/>
      <c r="H161" s="13" t="s">
        <v>223</v>
      </c>
      <c r="I161" s="13"/>
      <c r="J161" s="13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</row>
    <row r="162" spans="1:41" ht="20" customHeight="1" outlineLevel="1">
      <c r="A162" s="10" t="s">
        <v>77</v>
      </c>
      <c r="B162" s="13" t="s">
        <v>336</v>
      </c>
      <c r="C162" s="13"/>
      <c r="D162" s="13" t="s">
        <v>337</v>
      </c>
      <c r="E162" s="13" t="s">
        <v>31</v>
      </c>
      <c r="F162" s="16">
        <v>0.10299999999999999</v>
      </c>
      <c r="G162" s="13"/>
      <c r="H162" s="13" t="s">
        <v>223</v>
      </c>
      <c r="I162" s="13"/>
      <c r="J162" s="13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</row>
    <row r="163" spans="1:41" ht="20" customHeight="1" outlineLevel="1">
      <c r="A163" s="10" t="s">
        <v>77</v>
      </c>
      <c r="B163" s="13" t="s">
        <v>338</v>
      </c>
      <c r="C163" s="13"/>
      <c r="D163" s="13" t="s">
        <v>339</v>
      </c>
      <c r="E163" s="13" t="s">
        <v>31</v>
      </c>
      <c r="F163" s="16">
        <v>0.10730000000000001</v>
      </c>
      <c r="G163" s="13"/>
      <c r="H163" s="13" t="s">
        <v>223</v>
      </c>
      <c r="I163" s="13"/>
      <c r="J163" s="13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</row>
    <row r="164" spans="1:41" ht="20" customHeight="1" outlineLevel="1">
      <c r="A164" s="10" t="s">
        <v>77</v>
      </c>
      <c r="B164" s="13" t="s">
        <v>340</v>
      </c>
      <c r="C164" s="13"/>
      <c r="D164" s="13" t="s">
        <v>341</v>
      </c>
      <c r="E164" s="13" t="s">
        <v>31</v>
      </c>
      <c r="F164" s="16">
        <v>0.11169999999999999</v>
      </c>
      <c r="G164" s="13"/>
      <c r="H164" s="13" t="s">
        <v>223</v>
      </c>
      <c r="I164" s="13"/>
      <c r="J164" s="13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</row>
    <row r="165" spans="1:41" ht="20" customHeight="1" outlineLevel="1">
      <c r="A165" s="10" t="s">
        <v>77</v>
      </c>
      <c r="B165" s="13" t="s">
        <v>342</v>
      </c>
      <c r="C165" s="13"/>
      <c r="D165" s="13" t="s">
        <v>343</v>
      </c>
      <c r="E165" s="13" t="s">
        <v>31</v>
      </c>
      <c r="F165" s="16">
        <v>0.11600000000000001</v>
      </c>
      <c r="G165" s="13"/>
      <c r="H165" s="13" t="s">
        <v>223</v>
      </c>
      <c r="I165" s="13"/>
      <c r="J165" s="13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  <c r="AK165" s="14"/>
      <c r="AL165" s="14"/>
      <c r="AM165" s="14"/>
      <c r="AN165" s="14"/>
      <c r="AO165" s="14"/>
    </row>
    <row r="166" spans="1:41" ht="20" customHeight="1" outlineLevel="1">
      <c r="A166" s="10" t="s">
        <v>77</v>
      </c>
      <c r="B166" s="13" t="s">
        <v>344</v>
      </c>
      <c r="C166" s="13"/>
      <c r="D166" s="13" t="s">
        <v>345</v>
      </c>
      <c r="E166" s="13" t="s">
        <v>31</v>
      </c>
      <c r="F166" s="16">
        <v>0.12039999999999999</v>
      </c>
      <c r="G166" s="13"/>
      <c r="H166" s="13" t="s">
        <v>223</v>
      </c>
      <c r="I166" s="13"/>
      <c r="J166" s="13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  <c r="AK166" s="14"/>
      <c r="AL166" s="14"/>
      <c r="AM166" s="14"/>
      <c r="AN166" s="14"/>
      <c r="AO166" s="14"/>
    </row>
    <row r="167" spans="1:41" ht="20" customHeight="1" outlineLevel="1">
      <c r="A167" s="10" t="s">
        <v>77</v>
      </c>
      <c r="B167" s="13" t="s">
        <v>346</v>
      </c>
      <c r="C167" s="13"/>
      <c r="D167" s="13" t="s">
        <v>347</v>
      </c>
      <c r="E167" s="13" t="s">
        <v>31</v>
      </c>
      <c r="F167" s="16">
        <v>0.12470000000000001</v>
      </c>
      <c r="G167" s="13"/>
      <c r="H167" s="13" t="s">
        <v>223</v>
      </c>
      <c r="I167" s="13"/>
      <c r="J167" s="13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</row>
    <row r="168" spans="1:41" ht="20" customHeight="1" outlineLevel="1">
      <c r="A168" s="10" t="s">
        <v>77</v>
      </c>
      <c r="B168" s="13" t="s">
        <v>348</v>
      </c>
      <c r="C168" s="13"/>
      <c r="D168" s="13" t="s">
        <v>349</v>
      </c>
      <c r="E168" s="13" t="s">
        <v>31</v>
      </c>
      <c r="F168" s="16">
        <v>0.129</v>
      </c>
      <c r="G168" s="13"/>
      <c r="H168" s="13" t="s">
        <v>223</v>
      </c>
      <c r="I168" s="13"/>
      <c r="J168" s="13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</row>
    <row r="169" spans="1:41" ht="20" customHeight="1" outlineLevel="1">
      <c r="A169" s="10" t="s">
        <v>77</v>
      </c>
      <c r="B169" s="13" t="s">
        <v>350</v>
      </c>
      <c r="C169" s="13"/>
      <c r="D169" s="13" t="s">
        <v>351</v>
      </c>
      <c r="E169" s="13" t="s">
        <v>31</v>
      </c>
      <c r="F169" s="16">
        <v>0.13339999999999999</v>
      </c>
      <c r="G169" s="13"/>
      <c r="H169" s="13" t="s">
        <v>223</v>
      </c>
      <c r="I169" s="13"/>
      <c r="J169" s="13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</row>
    <row r="170" spans="1:41" ht="20" customHeight="1" outlineLevel="1">
      <c r="A170" s="10" t="s">
        <v>77</v>
      </c>
      <c r="B170" s="13" t="s">
        <v>352</v>
      </c>
      <c r="C170" s="13"/>
      <c r="D170" s="13" t="s">
        <v>353</v>
      </c>
      <c r="E170" s="13" t="s">
        <v>31</v>
      </c>
      <c r="F170" s="16">
        <v>0.13769999999999999</v>
      </c>
      <c r="G170" s="13"/>
      <c r="H170" s="13" t="s">
        <v>223</v>
      </c>
      <c r="I170" s="13"/>
      <c r="J170" s="13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  <c r="AK170" s="14"/>
      <c r="AL170" s="14"/>
      <c r="AM170" s="14"/>
      <c r="AN170" s="14"/>
      <c r="AO170" s="14"/>
    </row>
    <row r="171" spans="1:41" ht="20" customHeight="1" outlineLevel="1">
      <c r="A171" s="10" t="s">
        <v>77</v>
      </c>
      <c r="B171" s="13" t="s">
        <v>354</v>
      </c>
      <c r="C171" s="13"/>
      <c r="D171" s="13" t="s">
        <v>355</v>
      </c>
      <c r="E171" s="13" t="s">
        <v>31</v>
      </c>
      <c r="F171" s="16">
        <v>0.1421</v>
      </c>
      <c r="G171" s="13"/>
      <c r="H171" s="13" t="s">
        <v>223</v>
      </c>
      <c r="I171" s="13"/>
      <c r="J171" s="13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  <c r="AK171" s="14"/>
      <c r="AL171" s="14"/>
      <c r="AM171" s="14"/>
      <c r="AN171" s="14"/>
      <c r="AO171" s="14"/>
    </row>
    <row r="172" spans="1:41" ht="20" customHeight="1" outlineLevel="1">
      <c r="A172" s="10" t="s">
        <v>77</v>
      </c>
      <c r="B172" s="13" t="s">
        <v>356</v>
      </c>
      <c r="C172" s="13"/>
      <c r="D172" s="13" t="s">
        <v>357</v>
      </c>
      <c r="E172" s="13" t="s">
        <v>31</v>
      </c>
      <c r="F172" s="16">
        <v>0.1464</v>
      </c>
      <c r="G172" s="13"/>
      <c r="H172" s="13" t="s">
        <v>223</v>
      </c>
      <c r="I172" s="13"/>
      <c r="J172" s="13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  <c r="AK172" s="14"/>
      <c r="AL172" s="14"/>
      <c r="AM172" s="14"/>
      <c r="AN172" s="14"/>
      <c r="AO172" s="14"/>
    </row>
    <row r="173" spans="1:41" ht="20" customHeight="1" outlineLevel="1">
      <c r="A173" s="10" t="s">
        <v>77</v>
      </c>
      <c r="B173" s="13" t="s">
        <v>358</v>
      </c>
      <c r="C173" s="13"/>
      <c r="D173" s="13" t="s">
        <v>359</v>
      </c>
      <c r="E173" s="13" t="s">
        <v>31</v>
      </c>
      <c r="F173" s="16">
        <v>0.1507</v>
      </c>
      <c r="G173" s="13"/>
      <c r="H173" s="13" t="s">
        <v>223</v>
      </c>
      <c r="I173" s="13"/>
      <c r="J173" s="13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  <c r="AK173" s="14"/>
      <c r="AL173" s="14"/>
      <c r="AM173" s="14"/>
      <c r="AN173" s="14"/>
      <c r="AO173" s="14"/>
    </row>
    <row r="174" spans="1:41" ht="20" customHeight="1" outlineLevel="1">
      <c r="A174" s="10" t="s">
        <v>77</v>
      </c>
      <c r="B174" s="13" t="s">
        <v>360</v>
      </c>
      <c r="C174" s="13"/>
      <c r="D174" s="13" t="s">
        <v>361</v>
      </c>
      <c r="E174" s="13" t="s">
        <v>31</v>
      </c>
      <c r="F174" s="16">
        <v>0.15509999999999999</v>
      </c>
      <c r="G174" s="13"/>
      <c r="H174" s="13" t="s">
        <v>223</v>
      </c>
      <c r="I174" s="13"/>
      <c r="J174" s="13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  <c r="AK174" s="14"/>
      <c r="AL174" s="14"/>
      <c r="AM174" s="14"/>
      <c r="AN174" s="14"/>
      <c r="AO174" s="14"/>
    </row>
    <row r="175" spans="1:41" ht="20" customHeight="1" outlineLevel="1">
      <c r="A175" s="10" t="s">
        <v>77</v>
      </c>
      <c r="B175" s="13" t="s">
        <v>362</v>
      </c>
      <c r="C175" s="13"/>
      <c r="D175" s="13" t="s">
        <v>363</v>
      </c>
      <c r="E175" s="13" t="s">
        <v>31</v>
      </c>
      <c r="F175" s="16">
        <v>0.15939999999999999</v>
      </c>
      <c r="G175" s="13"/>
      <c r="H175" s="13" t="s">
        <v>223</v>
      </c>
      <c r="I175" s="13"/>
      <c r="J175" s="13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  <c r="AK175" s="14"/>
      <c r="AL175" s="14"/>
      <c r="AM175" s="14"/>
      <c r="AN175" s="14"/>
      <c r="AO175" s="14"/>
    </row>
    <row r="176" spans="1:41" ht="20" customHeight="1" outlineLevel="1">
      <c r="A176" s="10" t="s">
        <v>77</v>
      </c>
      <c r="B176" s="13" t="s">
        <v>364</v>
      </c>
      <c r="C176" s="13"/>
      <c r="D176" s="13" t="s">
        <v>365</v>
      </c>
      <c r="E176" s="13" t="s">
        <v>31</v>
      </c>
      <c r="F176" s="16">
        <v>0.1638</v>
      </c>
      <c r="G176" s="13"/>
      <c r="H176" s="13" t="s">
        <v>223</v>
      </c>
      <c r="I176" s="13"/>
      <c r="J176" s="13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</row>
    <row r="177" spans="1:41" ht="20" customHeight="1" outlineLevel="1">
      <c r="A177" s="10" t="s">
        <v>77</v>
      </c>
      <c r="B177" s="13" t="s">
        <v>366</v>
      </c>
      <c r="C177" s="13"/>
      <c r="D177" s="13" t="s">
        <v>367</v>
      </c>
      <c r="E177" s="13" t="s">
        <v>31</v>
      </c>
      <c r="F177" s="16">
        <v>0.1681</v>
      </c>
      <c r="G177" s="13"/>
      <c r="H177" s="13" t="s">
        <v>223</v>
      </c>
      <c r="I177" s="13"/>
      <c r="J177" s="13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</row>
    <row r="178" spans="1:41" ht="20" customHeight="1" outlineLevel="1">
      <c r="A178" s="10" t="s">
        <v>77</v>
      </c>
      <c r="B178" s="13" t="s">
        <v>368</v>
      </c>
      <c r="C178" s="13"/>
      <c r="D178" s="13" t="s">
        <v>19</v>
      </c>
      <c r="E178" s="13" t="s">
        <v>31</v>
      </c>
      <c r="F178" s="16">
        <v>0.1724</v>
      </c>
      <c r="G178" s="13"/>
      <c r="H178" s="13" t="s">
        <v>223</v>
      </c>
      <c r="I178" s="13"/>
      <c r="J178" s="13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  <c r="AK178" s="14"/>
      <c r="AL178" s="14"/>
      <c r="AM178" s="14"/>
      <c r="AN178" s="14"/>
      <c r="AO178" s="14"/>
    </row>
    <row r="179" spans="1:41" ht="20" customHeight="1" outlineLevel="1">
      <c r="A179" s="10" t="s">
        <v>77</v>
      </c>
      <c r="B179" s="13" t="s">
        <v>369</v>
      </c>
      <c r="C179" s="13"/>
      <c r="D179" s="13" t="s">
        <v>370</v>
      </c>
      <c r="E179" s="13" t="s">
        <v>31</v>
      </c>
      <c r="F179" s="16">
        <v>0.17680000000000001</v>
      </c>
      <c r="G179" s="13"/>
      <c r="H179" s="13" t="s">
        <v>223</v>
      </c>
      <c r="I179" s="13"/>
      <c r="J179" s="13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  <c r="AK179" s="14"/>
      <c r="AL179" s="14"/>
      <c r="AM179" s="14"/>
      <c r="AN179" s="14"/>
      <c r="AO179" s="14"/>
    </row>
    <row r="180" spans="1:41" ht="20" customHeight="1" outlineLevel="1">
      <c r="A180" s="10" t="s">
        <v>77</v>
      </c>
      <c r="B180" s="13" t="s">
        <v>371</v>
      </c>
      <c r="C180" s="13"/>
      <c r="D180" s="13" t="s">
        <v>372</v>
      </c>
      <c r="E180" s="13" t="s">
        <v>31</v>
      </c>
      <c r="F180" s="16">
        <v>0.18110000000000001</v>
      </c>
      <c r="G180" s="13"/>
      <c r="H180" s="13" t="s">
        <v>223</v>
      </c>
      <c r="I180" s="13"/>
      <c r="J180" s="13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  <c r="AK180" s="14"/>
      <c r="AL180" s="14"/>
      <c r="AM180" s="14"/>
      <c r="AN180" s="14"/>
      <c r="AO180" s="14"/>
    </row>
    <row r="181" spans="1:41" ht="20" customHeight="1" outlineLevel="1">
      <c r="A181" s="10" t="s">
        <v>77</v>
      </c>
      <c r="B181" s="13" t="s">
        <v>373</v>
      </c>
      <c r="C181" s="13"/>
      <c r="D181" s="13" t="s">
        <v>374</v>
      </c>
      <c r="E181" s="13" t="s">
        <v>31</v>
      </c>
      <c r="F181" s="16">
        <v>0.18540000000000001</v>
      </c>
      <c r="G181" s="13"/>
      <c r="H181" s="13" t="s">
        <v>223</v>
      </c>
      <c r="I181" s="13"/>
      <c r="J181" s="13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  <c r="AK181" s="14"/>
      <c r="AL181" s="14"/>
      <c r="AM181" s="14"/>
      <c r="AN181" s="14"/>
      <c r="AO181" s="14"/>
    </row>
    <row r="182" spans="1:41" ht="20" customHeight="1" outlineLevel="1">
      <c r="A182" s="10" t="s">
        <v>77</v>
      </c>
      <c r="B182" s="13" t="s">
        <v>375</v>
      </c>
      <c r="C182" s="13"/>
      <c r="D182" s="13" t="s">
        <v>376</v>
      </c>
      <c r="E182" s="13" t="s">
        <v>31</v>
      </c>
      <c r="F182" s="16">
        <v>0.1898</v>
      </c>
      <c r="G182" s="13"/>
      <c r="H182" s="13" t="s">
        <v>223</v>
      </c>
      <c r="I182" s="13"/>
      <c r="J182" s="13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  <c r="AK182" s="14"/>
      <c r="AL182" s="14"/>
      <c r="AM182" s="14"/>
      <c r="AN182" s="14"/>
      <c r="AO182" s="14"/>
    </row>
    <row r="183" spans="1:41" ht="20" customHeight="1" outlineLevel="1">
      <c r="A183" s="10" t="s">
        <v>77</v>
      </c>
      <c r="B183" s="13" t="s">
        <v>377</v>
      </c>
      <c r="C183" s="13"/>
      <c r="D183" s="13" t="s">
        <v>378</v>
      </c>
      <c r="E183" s="13" t="s">
        <v>31</v>
      </c>
      <c r="F183" s="16">
        <v>0.19409999999999999</v>
      </c>
      <c r="G183" s="13"/>
      <c r="H183" s="13" t="s">
        <v>223</v>
      </c>
      <c r="I183" s="13"/>
      <c r="J183" s="13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  <c r="AK183" s="14"/>
      <c r="AL183" s="14"/>
      <c r="AM183" s="14"/>
      <c r="AN183" s="14"/>
      <c r="AO183" s="14"/>
    </row>
    <row r="184" spans="1:41" ht="20" customHeight="1" outlineLevel="1">
      <c r="A184" s="10" t="s">
        <v>77</v>
      </c>
      <c r="B184" s="13" t="s">
        <v>379</v>
      </c>
      <c r="C184" s="13"/>
      <c r="D184" s="13" t="s">
        <v>380</v>
      </c>
      <c r="E184" s="13" t="s">
        <v>31</v>
      </c>
      <c r="F184" s="16">
        <v>0.19850000000000001</v>
      </c>
      <c r="G184" s="13"/>
      <c r="H184" s="13" t="s">
        <v>223</v>
      </c>
      <c r="I184" s="13"/>
      <c r="J184" s="13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  <c r="AK184" s="14"/>
      <c r="AL184" s="14"/>
      <c r="AM184" s="14"/>
      <c r="AN184" s="14"/>
      <c r="AO184" s="14"/>
    </row>
    <row r="185" spans="1:41" ht="20" customHeight="1" outlineLevel="1">
      <c r="A185" s="10" t="s">
        <v>77</v>
      </c>
      <c r="B185" s="13" t="s">
        <v>381</v>
      </c>
      <c r="C185" s="13"/>
      <c r="D185" s="13" t="s">
        <v>382</v>
      </c>
      <c r="E185" s="13" t="s">
        <v>31</v>
      </c>
      <c r="F185" s="16">
        <v>0.20280000000000001</v>
      </c>
      <c r="G185" s="13"/>
      <c r="H185" s="13" t="s">
        <v>223</v>
      </c>
      <c r="I185" s="13"/>
      <c r="J185" s="13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  <c r="AK185" s="14"/>
      <c r="AL185" s="14"/>
      <c r="AM185" s="14"/>
      <c r="AN185" s="14"/>
      <c r="AO185" s="14"/>
    </row>
    <row r="186" spans="1:41" ht="20" customHeight="1" outlineLevel="1">
      <c r="A186" s="10" t="s">
        <v>77</v>
      </c>
      <c r="B186" s="13" t="s">
        <v>383</v>
      </c>
      <c r="C186" s="13"/>
      <c r="D186" s="13" t="s">
        <v>384</v>
      </c>
      <c r="E186" s="13" t="s">
        <v>31</v>
      </c>
      <c r="F186" s="16">
        <v>0.20710000000000001</v>
      </c>
      <c r="G186" s="13"/>
      <c r="H186" s="13" t="s">
        <v>223</v>
      </c>
      <c r="I186" s="13"/>
      <c r="J186" s="13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  <c r="AK186" s="14"/>
      <c r="AL186" s="14"/>
      <c r="AM186" s="14"/>
      <c r="AN186" s="14"/>
      <c r="AO186" s="14"/>
    </row>
    <row r="187" spans="1:41" ht="20" customHeight="1" outlineLevel="1">
      <c r="A187" s="10" t="s">
        <v>77</v>
      </c>
      <c r="B187" s="13" t="s">
        <v>385</v>
      </c>
      <c r="C187" s="13"/>
      <c r="D187" s="13" t="s">
        <v>386</v>
      </c>
      <c r="E187" s="13" t="s">
        <v>31</v>
      </c>
      <c r="F187" s="16">
        <v>0.21149999999999999</v>
      </c>
      <c r="G187" s="13"/>
      <c r="H187" s="13" t="s">
        <v>223</v>
      </c>
      <c r="I187" s="13"/>
      <c r="J187" s="13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  <c r="AK187" s="14"/>
      <c r="AL187" s="14"/>
      <c r="AM187" s="14"/>
      <c r="AN187" s="14"/>
      <c r="AO187" s="14"/>
    </row>
    <row r="188" spans="1:41" ht="20" customHeight="1" outlineLevel="1">
      <c r="A188" s="10" t="s">
        <v>77</v>
      </c>
      <c r="B188" s="13" t="s">
        <v>387</v>
      </c>
      <c r="C188" s="13"/>
      <c r="D188" s="13" t="s">
        <v>320</v>
      </c>
      <c r="E188" s="13" t="s">
        <v>103</v>
      </c>
      <c r="F188" s="16">
        <v>6.4600000000000005E-2</v>
      </c>
      <c r="G188" s="13" t="s">
        <v>97</v>
      </c>
      <c r="H188" s="13"/>
      <c r="I188" s="13"/>
      <c r="J188" s="13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  <c r="AK188" s="14"/>
      <c r="AL188" s="14"/>
      <c r="AM188" s="14"/>
      <c r="AN188" s="14"/>
      <c r="AO188" s="14"/>
    </row>
    <row r="189" spans="1:41" ht="20" customHeight="1" outlineLevel="1">
      <c r="A189" s="10" t="s">
        <v>77</v>
      </c>
      <c r="B189" s="13" t="s">
        <v>388</v>
      </c>
      <c r="C189" s="13"/>
      <c r="D189" s="13" t="s">
        <v>324</v>
      </c>
      <c r="E189" s="13" t="s">
        <v>103</v>
      </c>
      <c r="F189" s="16">
        <v>7.3400000000000007E-2</v>
      </c>
      <c r="G189" s="13" t="s">
        <v>97</v>
      </c>
      <c r="H189" s="13"/>
      <c r="I189" s="13"/>
      <c r="J189" s="13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</row>
    <row r="190" spans="1:41" ht="20" customHeight="1" outlineLevel="1">
      <c r="A190" s="10" t="s">
        <v>77</v>
      </c>
      <c r="B190" s="13" t="s">
        <v>389</v>
      </c>
      <c r="C190" s="13"/>
      <c r="D190" s="13" t="s">
        <v>20</v>
      </c>
      <c r="E190" s="13" t="s">
        <v>103</v>
      </c>
      <c r="F190" s="16">
        <v>7.7700000000000005E-2</v>
      </c>
      <c r="G190" s="13" t="s">
        <v>97</v>
      </c>
      <c r="H190" s="13"/>
      <c r="I190" s="13"/>
      <c r="J190" s="13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</row>
    <row r="191" spans="1:41" ht="20" customHeight="1" outlineLevel="1">
      <c r="A191" s="10" t="s">
        <v>77</v>
      </c>
      <c r="B191" s="13" t="s">
        <v>390</v>
      </c>
      <c r="C191" s="13"/>
      <c r="D191" s="13" t="s">
        <v>327</v>
      </c>
      <c r="E191" s="13" t="s">
        <v>103</v>
      </c>
      <c r="F191" s="16">
        <v>8.2100000000000006E-2</v>
      </c>
      <c r="G191" s="13" t="s">
        <v>97</v>
      </c>
      <c r="H191" s="13"/>
      <c r="I191" s="13"/>
      <c r="J191" s="13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  <c r="AK191" s="14"/>
      <c r="AL191" s="14"/>
      <c r="AM191" s="14"/>
      <c r="AN191" s="14"/>
      <c r="AO191" s="14"/>
    </row>
    <row r="192" spans="1:41" ht="20" customHeight="1" outlineLevel="1">
      <c r="A192" s="10" t="s">
        <v>77</v>
      </c>
      <c r="B192" s="13" t="s">
        <v>391</v>
      </c>
      <c r="C192" s="13"/>
      <c r="D192" s="13" t="s">
        <v>329</v>
      </c>
      <c r="E192" s="13" t="s">
        <v>103</v>
      </c>
      <c r="F192" s="16">
        <v>8.6499999999999994E-2</v>
      </c>
      <c r="G192" s="13" t="s">
        <v>97</v>
      </c>
      <c r="H192" s="13"/>
      <c r="I192" s="13"/>
      <c r="J192" s="13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  <c r="AK192" s="14"/>
      <c r="AL192" s="14"/>
      <c r="AM192" s="14"/>
      <c r="AN192" s="14"/>
      <c r="AO192" s="14"/>
    </row>
    <row r="193" spans="1:41" ht="20" customHeight="1" outlineLevel="1">
      <c r="A193" s="10" t="s">
        <v>77</v>
      </c>
      <c r="B193" s="13" t="s">
        <v>392</v>
      </c>
      <c r="C193" s="13"/>
      <c r="D193" s="13" t="s">
        <v>331</v>
      </c>
      <c r="E193" s="13" t="s">
        <v>103</v>
      </c>
      <c r="F193" s="16">
        <v>9.0899999999999995E-2</v>
      </c>
      <c r="G193" s="13" t="s">
        <v>97</v>
      </c>
      <c r="H193" s="13"/>
      <c r="I193" s="13"/>
      <c r="J193" s="13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  <c r="AK193" s="14"/>
      <c r="AL193" s="14"/>
      <c r="AM193" s="14"/>
      <c r="AN193" s="14"/>
      <c r="AO193" s="14"/>
    </row>
    <row r="194" spans="1:41" ht="20" customHeight="1" outlineLevel="1">
      <c r="A194" s="10" t="s">
        <v>77</v>
      </c>
      <c r="B194" s="13" t="s">
        <v>393</v>
      </c>
      <c r="C194" s="13"/>
      <c r="D194" s="13" t="s">
        <v>333</v>
      </c>
      <c r="E194" s="13" t="s">
        <v>103</v>
      </c>
      <c r="F194" s="16">
        <v>9.5299999999999996E-2</v>
      </c>
      <c r="G194" s="13" t="s">
        <v>97</v>
      </c>
      <c r="H194" s="13"/>
      <c r="I194" s="13"/>
      <c r="J194" s="13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  <c r="AK194" s="14"/>
      <c r="AL194" s="14"/>
      <c r="AM194" s="14"/>
      <c r="AN194" s="14"/>
      <c r="AO194" s="14"/>
    </row>
    <row r="195" spans="1:41" ht="20" customHeight="1" outlineLevel="1">
      <c r="A195" s="10" t="s">
        <v>77</v>
      </c>
      <c r="B195" s="13" t="s">
        <v>394</v>
      </c>
      <c r="C195" s="13"/>
      <c r="D195" s="13" t="s">
        <v>335</v>
      </c>
      <c r="E195" s="13" t="s">
        <v>103</v>
      </c>
      <c r="F195" s="16">
        <v>9.9699999999999997E-2</v>
      </c>
      <c r="G195" s="13" t="s">
        <v>97</v>
      </c>
      <c r="H195" s="13"/>
      <c r="I195" s="13"/>
      <c r="J195" s="13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  <c r="AK195" s="14"/>
      <c r="AL195" s="14"/>
      <c r="AM195" s="14"/>
      <c r="AN195" s="14"/>
      <c r="AO195" s="14"/>
    </row>
    <row r="196" spans="1:41" ht="20" customHeight="1" outlineLevel="1">
      <c r="A196" s="10" t="s">
        <v>77</v>
      </c>
      <c r="B196" s="13" t="s">
        <v>395</v>
      </c>
      <c r="C196" s="13"/>
      <c r="D196" s="13" t="s">
        <v>337</v>
      </c>
      <c r="E196" s="13" t="s">
        <v>103</v>
      </c>
      <c r="F196" s="16">
        <v>0.104</v>
      </c>
      <c r="G196" s="13" t="s">
        <v>97</v>
      </c>
      <c r="H196" s="13"/>
      <c r="I196" s="13"/>
      <c r="J196" s="13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  <c r="AK196" s="14"/>
      <c r="AL196" s="14"/>
      <c r="AM196" s="14"/>
      <c r="AN196" s="14"/>
      <c r="AO196" s="14"/>
    </row>
    <row r="197" spans="1:41" ht="20" customHeight="1" outlineLevel="1">
      <c r="A197" s="10" t="s">
        <v>77</v>
      </c>
      <c r="B197" s="13" t="s">
        <v>396</v>
      </c>
      <c r="C197" s="13"/>
      <c r="D197" s="13" t="s">
        <v>339</v>
      </c>
      <c r="E197" s="13" t="s">
        <v>103</v>
      </c>
      <c r="F197" s="16">
        <v>0.1084</v>
      </c>
      <c r="G197" s="13" t="s">
        <v>97</v>
      </c>
      <c r="H197" s="13"/>
      <c r="I197" s="13"/>
      <c r="J197" s="13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  <c r="AK197" s="14"/>
      <c r="AL197" s="14"/>
      <c r="AM197" s="14"/>
      <c r="AN197" s="14"/>
      <c r="AO197" s="14"/>
    </row>
    <row r="198" spans="1:41" ht="20" customHeight="1" outlineLevel="1">
      <c r="A198" s="10" t="s">
        <v>77</v>
      </c>
      <c r="B198" s="13" t="s">
        <v>397</v>
      </c>
      <c r="C198" s="13"/>
      <c r="D198" s="13" t="s">
        <v>341</v>
      </c>
      <c r="E198" s="13" t="s">
        <v>103</v>
      </c>
      <c r="F198" s="16">
        <v>0.1128</v>
      </c>
      <c r="G198" s="13" t="s">
        <v>97</v>
      </c>
      <c r="H198" s="13"/>
      <c r="I198" s="13"/>
      <c r="J198" s="13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  <c r="AK198" s="14"/>
      <c r="AL198" s="14"/>
      <c r="AM198" s="14"/>
      <c r="AN198" s="14"/>
      <c r="AO198" s="14"/>
    </row>
    <row r="199" spans="1:41" ht="20" customHeight="1" outlineLevel="1">
      <c r="A199" s="10" t="s">
        <v>77</v>
      </c>
      <c r="B199" s="13" t="s">
        <v>398</v>
      </c>
      <c r="C199" s="13"/>
      <c r="D199" s="13" t="s">
        <v>343</v>
      </c>
      <c r="E199" s="13" t="s">
        <v>103</v>
      </c>
      <c r="F199" s="16">
        <v>0.1172</v>
      </c>
      <c r="G199" s="13" t="s">
        <v>97</v>
      </c>
      <c r="H199" s="13"/>
      <c r="I199" s="13"/>
      <c r="J199" s="13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  <c r="AK199" s="14"/>
      <c r="AL199" s="14"/>
      <c r="AM199" s="14"/>
      <c r="AN199" s="14"/>
      <c r="AO199" s="14"/>
    </row>
    <row r="200" spans="1:41" ht="20" customHeight="1" outlineLevel="1">
      <c r="A200" s="10" t="s">
        <v>77</v>
      </c>
      <c r="B200" s="13" t="s">
        <v>399</v>
      </c>
      <c r="C200" s="13"/>
      <c r="D200" s="13" t="s">
        <v>345</v>
      </c>
      <c r="E200" s="13" t="s">
        <v>103</v>
      </c>
      <c r="F200" s="16">
        <v>0.1216</v>
      </c>
      <c r="G200" s="13" t="s">
        <v>97</v>
      </c>
      <c r="H200" s="13"/>
      <c r="I200" s="13"/>
      <c r="J200" s="13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  <c r="AK200" s="14"/>
      <c r="AL200" s="14"/>
      <c r="AM200" s="14"/>
      <c r="AN200" s="14"/>
      <c r="AO200" s="14"/>
    </row>
    <row r="201" spans="1:41" ht="20" customHeight="1" outlineLevel="1">
      <c r="A201" s="10" t="s">
        <v>77</v>
      </c>
      <c r="B201" s="13" t="s">
        <v>400</v>
      </c>
      <c r="C201" s="13"/>
      <c r="D201" s="13" t="s">
        <v>347</v>
      </c>
      <c r="E201" s="13" t="s">
        <v>103</v>
      </c>
      <c r="F201" s="16">
        <v>0.126</v>
      </c>
      <c r="G201" s="13" t="s">
        <v>97</v>
      </c>
      <c r="H201" s="13"/>
      <c r="I201" s="13"/>
      <c r="J201" s="13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  <c r="AK201" s="14"/>
      <c r="AL201" s="14"/>
      <c r="AM201" s="14"/>
      <c r="AN201" s="14"/>
      <c r="AO201" s="14"/>
    </row>
    <row r="202" spans="1:41" ht="20" customHeight="1" outlineLevel="1">
      <c r="A202" s="10" t="s">
        <v>77</v>
      </c>
      <c r="B202" s="13" t="s">
        <v>401</v>
      </c>
      <c r="C202" s="13"/>
      <c r="D202" s="13" t="s">
        <v>349</v>
      </c>
      <c r="E202" s="13" t="s">
        <v>103</v>
      </c>
      <c r="F202" s="16">
        <v>0.1303</v>
      </c>
      <c r="G202" s="13" t="s">
        <v>97</v>
      </c>
      <c r="H202" s="13"/>
      <c r="I202" s="13"/>
      <c r="J202" s="13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  <c r="AK202" s="14"/>
      <c r="AL202" s="14"/>
      <c r="AM202" s="14"/>
      <c r="AN202" s="14"/>
      <c r="AO202" s="14"/>
    </row>
    <row r="203" spans="1:41" ht="20" customHeight="1" outlineLevel="1">
      <c r="A203" s="10" t="s">
        <v>77</v>
      </c>
      <c r="B203" s="13" t="s">
        <v>402</v>
      </c>
      <c r="C203" s="13"/>
      <c r="D203" s="13" t="s">
        <v>351</v>
      </c>
      <c r="E203" s="13" t="s">
        <v>103</v>
      </c>
      <c r="F203" s="16">
        <v>0.13469999999999999</v>
      </c>
      <c r="G203" s="13" t="s">
        <v>97</v>
      </c>
      <c r="H203" s="13"/>
      <c r="I203" s="13"/>
      <c r="J203" s="13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  <c r="AK203" s="14"/>
      <c r="AL203" s="14"/>
      <c r="AM203" s="14"/>
      <c r="AN203" s="14"/>
      <c r="AO203" s="14"/>
    </row>
    <row r="204" spans="1:41" ht="20" customHeight="1" outlineLevel="1">
      <c r="A204" s="10" t="s">
        <v>77</v>
      </c>
      <c r="B204" s="13" t="s">
        <v>403</v>
      </c>
      <c r="C204" s="13"/>
      <c r="D204" s="13" t="s">
        <v>353</v>
      </c>
      <c r="E204" s="13" t="s">
        <v>103</v>
      </c>
      <c r="F204" s="16">
        <v>0.1391</v>
      </c>
      <c r="G204" s="13" t="s">
        <v>97</v>
      </c>
      <c r="H204" s="13"/>
      <c r="I204" s="13"/>
      <c r="J204" s="13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  <c r="AK204" s="14"/>
      <c r="AL204" s="14"/>
      <c r="AM204" s="14"/>
      <c r="AN204" s="14"/>
      <c r="AO204" s="14"/>
    </row>
    <row r="205" spans="1:41" ht="20" customHeight="1" outlineLevel="1">
      <c r="A205" s="10" t="s">
        <v>77</v>
      </c>
      <c r="B205" s="13" t="s">
        <v>404</v>
      </c>
      <c r="C205" s="13"/>
      <c r="D205" s="13" t="s">
        <v>355</v>
      </c>
      <c r="E205" s="13" t="s">
        <v>103</v>
      </c>
      <c r="F205" s="16">
        <v>0.14349999999999999</v>
      </c>
      <c r="G205" s="13" t="s">
        <v>97</v>
      </c>
      <c r="H205" s="13"/>
      <c r="I205" s="13"/>
      <c r="J205" s="13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  <c r="AK205" s="14"/>
      <c r="AL205" s="14"/>
      <c r="AM205" s="14"/>
      <c r="AN205" s="14"/>
      <c r="AO205" s="14"/>
    </row>
    <row r="206" spans="1:41" ht="20" customHeight="1" outlineLevel="1">
      <c r="A206" s="10" t="s">
        <v>77</v>
      </c>
      <c r="B206" s="13" t="s">
        <v>405</v>
      </c>
      <c r="C206" s="13"/>
      <c r="D206" s="13" t="s">
        <v>357</v>
      </c>
      <c r="E206" s="13" t="s">
        <v>103</v>
      </c>
      <c r="F206" s="16">
        <v>0.1479</v>
      </c>
      <c r="G206" s="13" t="s">
        <v>97</v>
      </c>
      <c r="H206" s="13"/>
      <c r="I206" s="13"/>
      <c r="J206" s="13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  <c r="AK206" s="14"/>
      <c r="AL206" s="14"/>
      <c r="AM206" s="14"/>
      <c r="AN206" s="14"/>
      <c r="AO206" s="14"/>
    </row>
    <row r="207" spans="1:41" ht="20" customHeight="1" outlineLevel="1">
      <c r="A207" s="10" t="s">
        <v>77</v>
      </c>
      <c r="B207" s="13" t="s">
        <v>406</v>
      </c>
      <c r="C207" s="13"/>
      <c r="D207" s="13" t="s">
        <v>359</v>
      </c>
      <c r="E207" s="13" t="s">
        <v>103</v>
      </c>
      <c r="F207" s="16">
        <v>0.15229999999999999</v>
      </c>
      <c r="G207" s="13" t="s">
        <v>97</v>
      </c>
      <c r="H207" s="13"/>
      <c r="I207" s="13"/>
      <c r="J207" s="13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  <c r="AK207" s="14"/>
      <c r="AL207" s="14"/>
      <c r="AM207" s="14"/>
      <c r="AN207" s="14"/>
      <c r="AO207" s="14"/>
    </row>
    <row r="208" spans="1:41" ht="20" customHeight="1" outlineLevel="1">
      <c r="A208" s="10" t="s">
        <v>77</v>
      </c>
      <c r="B208" s="13" t="s">
        <v>407</v>
      </c>
      <c r="C208" s="13"/>
      <c r="D208" s="13" t="s">
        <v>361</v>
      </c>
      <c r="E208" s="13" t="s">
        <v>103</v>
      </c>
      <c r="F208" s="16">
        <v>0.15670000000000001</v>
      </c>
      <c r="G208" s="13" t="s">
        <v>97</v>
      </c>
      <c r="H208" s="13"/>
      <c r="I208" s="13"/>
      <c r="J208" s="13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  <c r="AK208" s="14"/>
      <c r="AL208" s="14"/>
      <c r="AM208" s="14"/>
      <c r="AN208" s="14"/>
      <c r="AO208" s="14"/>
    </row>
    <row r="209" spans="1:41" ht="20" customHeight="1" outlineLevel="1">
      <c r="A209" s="10" t="s">
        <v>77</v>
      </c>
      <c r="B209" s="13" t="s">
        <v>408</v>
      </c>
      <c r="C209" s="13"/>
      <c r="D209" s="13" t="s">
        <v>363</v>
      </c>
      <c r="E209" s="13" t="s">
        <v>103</v>
      </c>
      <c r="F209" s="16">
        <v>0.161</v>
      </c>
      <c r="G209" s="13" t="s">
        <v>97</v>
      </c>
      <c r="H209" s="13"/>
      <c r="I209" s="13"/>
      <c r="J209" s="13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  <c r="AK209" s="14"/>
      <c r="AL209" s="14"/>
      <c r="AM209" s="14"/>
      <c r="AN209" s="14"/>
      <c r="AO209" s="14"/>
    </row>
    <row r="210" spans="1:41" ht="20" customHeight="1" outlineLevel="1">
      <c r="A210" s="10" t="s">
        <v>77</v>
      </c>
      <c r="B210" s="13" t="s">
        <v>409</v>
      </c>
      <c r="C210" s="13"/>
      <c r="D210" s="13" t="s">
        <v>365</v>
      </c>
      <c r="E210" s="13" t="s">
        <v>103</v>
      </c>
      <c r="F210" s="16">
        <v>0.16539999999999999</v>
      </c>
      <c r="G210" s="13" t="s">
        <v>97</v>
      </c>
      <c r="H210" s="13"/>
      <c r="I210" s="13"/>
      <c r="J210" s="13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  <c r="AK210" s="14"/>
      <c r="AL210" s="14"/>
      <c r="AM210" s="14"/>
      <c r="AN210" s="14"/>
      <c r="AO210" s="14"/>
    </row>
    <row r="211" spans="1:41" ht="20" customHeight="1" outlineLevel="1">
      <c r="A211" s="10" t="s">
        <v>77</v>
      </c>
      <c r="B211" s="13" t="s">
        <v>410</v>
      </c>
      <c r="C211" s="13"/>
      <c r="D211" s="13" t="s">
        <v>367</v>
      </c>
      <c r="E211" s="13" t="s">
        <v>103</v>
      </c>
      <c r="F211" s="16">
        <v>0.16980000000000001</v>
      </c>
      <c r="G211" s="13" t="s">
        <v>97</v>
      </c>
      <c r="H211" s="13"/>
      <c r="I211" s="13"/>
      <c r="J211" s="13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  <c r="AK211" s="14"/>
      <c r="AL211" s="14"/>
      <c r="AM211" s="14"/>
      <c r="AN211" s="14"/>
      <c r="AO211" s="14"/>
    </row>
    <row r="212" spans="1:41" ht="20" customHeight="1" outlineLevel="1">
      <c r="A212" s="10" t="s">
        <v>77</v>
      </c>
      <c r="B212" s="13" t="s">
        <v>411</v>
      </c>
      <c r="C212" s="13"/>
      <c r="D212" s="13" t="s">
        <v>19</v>
      </c>
      <c r="E212" s="13" t="s">
        <v>103</v>
      </c>
      <c r="F212" s="16">
        <v>0.17419999999999999</v>
      </c>
      <c r="G212" s="13" t="s">
        <v>97</v>
      </c>
      <c r="H212" s="13"/>
      <c r="I212" s="13"/>
      <c r="J212" s="13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  <c r="AK212" s="14"/>
      <c r="AL212" s="14"/>
      <c r="AM212" s="14"/>
      <c r="AN212" s="14"/>
      <c r="AO212" s="14"/>
    </row>
    <row r="213" spans="1:41" ht="20" customHeight="1" outlineLevel="1">
      <c r="A213" s="10" t="s">
        <v>77</v>
      </c>
      <c r="B213" s="13" t="s">
        <v>412</v>
      </c>
      <c r="C213" s="13"/>
      <c r="D213" s="13" t="s">
        <v>370</v>
      </c>
      <c r="E213" s="13" t="s">
        <v>103</v>
      </c>
      <c r="F213" s="16">
        <v>0.17860000000000001</v>
      </c>
      <c r="G213" s="13" t="s">
        <v>97</v>
      </c>
      <c r="H213" s="13"/>
      <c r="I213" s="13"/>
      <c r="J213" s="13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  <c r="AK213" s="14"/>
      <c r="AL213" s="14"/>
      <c r="AM213" s="14"/>
      <c r="AN213" s="14"/>
      <c r="AO213" s="14"/>
    </row>
    <row r="214" spans="1:41" ht="20" customHeight="1" outlineLevel="1">
      <c r="A214" s="10" t="s">
        <v>77</v>
      </c>
      <c r="B214" s="13" t="s">
        <v>413</v>
      </c>
      <c r="C214" s="13"/>
      <c r="D214" s="13" t="s">
        <v>372</v>
      </c>
      <c r="E214" s="13" t="s">
        <v>103</v>
      </c>
      <c r="F214" s="16">
        <v>0.183</v>
      </c>
      <c r="G214" s="13" t="s">
        <v>97</v>
      </c>
      <c r="H214" s="13"/>
      <c r="I214" s="13"/>
      <c r="J214" s="13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  <c r="AK214" s="14"/>
      <c r="AL214" s="14"/>
      <c r="AM214" s="14"/>
      <c r="AN214" s="14"/>
      <c r="AO214" s="14"/>
    </row>
    <row r="215" spans="1:41" ht="20" customHeight="1" outlineLevel="1">
      <c r="A215" s="10" t="s">
        <v>77</v>
      </c>
      <c r="B215" s="13" t="s">
        <v>414</v>
      </c>
      <c r="C215" s="13"/>
      <c r="D215" s="13" t="s">
        <v>374</v>
      </c>
      <c r="E215" s="13" t="s">
        <v>103</v>
      </c>
      <c r="F215" s="16">
        <v>0.18729999999999999</v>
      </c>
      <c r="G215" s="13" t="s">
        <v>97</v>
      </c>
      <c r="H215" s="13"/>
      <c r="I215" s="13"/>
      <c r="J215" s="13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  <c r="AK215" s="14"/>
      <c r="AL215" s="14"/>
      <c r="AM215" s="14"/>
      <c r="AN215" s="14"/>
      <c r="AO215" s="14"/>
    </row>
    <row r="216" spans="1:41" ht="20" customHeight="1" outlineLevel="1">
      <c r="A216" s="10" t="s">
        <v>77</v>
      </c>
      <c r="B216" s="13" t="s">
        <v>415</v>
      </c>
      <c r="C216" s="13"/>
      <c r="D216" s="13" t="s">
        <v>376</v>
      </c>
      <c r="E216" s="13" t="s">
        <v>103</v>
      </c>
      <c r="F216" s="16">
        <v>0.19170000000000001</v>
      </c>
      <c r="G216" s="13" t="s">
        <v>97</v>
      </c>
      <c r="H216" s="13"/>
      <c r="I216" s="13"/>
      <c r="J216" s="13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</row>
    <row r="217" spans="1:41" ht="20" customHeight="1" outlineLevel="1">
      <c r="A217" s="10" t="s">
        <v>77</v>
      </c>
      <c r="B217" s="13" t="s">
        <v>416</v>
      </c>
      <c r="C217" s="13"/>
      <c r="D217" s="13" t="s">
        <v>378</v>
      </c>
      <c r="E217" s="13" t="s">
        <v>103</v>
      </c>
      <c r="F217" s="16">
        <v>0.1961</v>
      </c>
      <c r="G217" s="13" t="s">
        <v>97</v>
      </c>
      <c r="H217" s="13"/>
      <c r="I217" s="13"/>
      <c r="J217" s="13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</row>
    <row r="218" spans="1:41" ht="20" customHeight="1" outlineLevel="1">
      <c r="A218" s="10" t="s">
        <v>77</v>
      </c>
      <c r="B218" s="13" t="s">
        <v>417</v>
      </c>
      <c r="C218" s="13"/>
      <c r="D218" s="13" t="s">
        <v>380</v>
      </c>
      <c r="E218" s="13" t="s">
        <v>103</v>
      </c>
      <c r="F218" s="16">
        <v>0.20050000000000001</v>
      </c>
      <c r="G218" s="13" t="s">
        <v>97</v>
      </c>
      <c r="H218" s="13"/>
      <c r="I218" s="13"/>
      <c r="J218" s="13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</row>
    <row r="219" spans="1:41" ht="20" customHeight="1" outlineLevel="1">
      <c r="A219" s="10" t="s">
        <v>77</v>
      </c>
      <c r="B219" s="13" t="s">
        <v>418</v>
      </c>
      <c r="C219" s="13"/>
      <c r="D219" s="13" t="s">
        <v>382</v>
      </c>
      <c r="E219" s="13" t="s">
        <v>103</v>
      </c>
      <c r="F219" s="16">
        <v>0.2049</v>
      </c>
      <c r="G219" s="13" t="s">
        <v>97</v>
      </c>
      <c r="H219" s="13"/>
      <c r="I219" s="13"/>
      <c r="J219" s="13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</row>
    <row r="220" spans="1:41" ht="20" customHeight="1" outlineLevel="1">
      <c r="A220" s="10" t="s">
        <v>77</v>
      </c>
      <c r="B220" s="13" t="s">
        <v>419</v>
      </c>
      <c r="C220" s="13"/>
      <c r="D220" s="13" t="s">
        <v>384</v>
      </c>
      <c r="E220" s="13" t="s">
        <v>103</v>
      </c>
      <c r="F220" s="16">
        <v>0.20930000000000001</v>
      </c>
      <c r="G220" s="13" t="s">
        <v>97</v>
      </c>
      <c r="H220" s="13"/>
      <c r="I220" s="13"/>
      <c r="J220" s="13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</row>
    <row r="221" spans="1:41" ht="20" customHeight="1" outlineLevel="1">
      <c r="A221" s="10" t="s">
        <v>77</v>
      </c>
      <c r="B221" s="13" t="s">
        <v>420</v>
      </c>
      <c r="C221" s="13"/>
      <c r="D221" s="13" t="s">
        <v>386</v>
      </c>
      <c r="E221" s="13" t="s">
        <v>103</v>
      </c>
      <c r="F221" s="16">
        <v>0.21360000000000001</v>
      </c>
      <c r="G221" s="13" t="s">
        <v>97</v>
      </c>
      <c r="H221" s="13"/>
      <c r="I221" s="13"/>
      <c r="J221" s="13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</row>
    <row r="222" spans="1:41" s="22" customFormat="1" ht="20" customHeight="1" outlineLevel="1">
      <c r="A222" s="18" t="s">
        <v>77</v>
      </c>
      <c r="B222" s="19" t="s">
        <v>421</v>
      </c>
      <c r="C222" s="19"/>
      <c r="D222" s="19" t="s">
        <v>422</v>
      </c>
      <c r="E222" s="19" t="s">
        <v>30</v>
      </c>
      <c r="F222" s="20">
        <v>6.1400000000000003E-2</v>
      </c>
      <c r="G222" s="19"/>
      <c r="H222" s="19" t="s">
        <v>223</v>
      </c>
      <c r="I222" s="19"/>
      <c r="J222" s="19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</row>
    <row r="223" spans="1:41" s="22" customFormat="1" ht="20" customHeight="1" outlineLevel="1">
      <c r="A223" s="18" t="s">
        <v>77</v>
      </c>
      <c r="B223" s="19" t="s">
        <v>423</v>
      </c>
      <c r="C223" s="19"/>
      <c r="D223" s="19" t="s">
        <v>424</v>
      </c>
      <c r="E223" s="19" t="s">
        <v>30</v>
      </c>
      <c r="F223" s="20">
        <v>6.7299999999999999E-2</v>
      </c>
      <c r="G223" s="19"/>
      <c r="H223" s="19" t="s">
        <v>223</v>
      </c>
      <c r="I223" s="19"/>
      <c r="J223" s="19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</row>
    <row r="224" spans="1:41" s="22" customFormat="1" ht="20" customHeight="1" outlineLevel="1">
      <c r="A224" s="18" t="s">
        <v>77</v>
      </c>
      <c r="B224" s="19" t="s">
        <v>425</v>
      </c>
      <c r="C224" s="19"/>
      <c r="D224" s="19" t="s">
        <v>426</v>
      </c>
      <c r="E224" s="19" t="s">
        <v>30</v>
      </c>
      <c r="F224" s="20">
        <v>7.3200000000000001E-2</v>
      </c>
      <c r="G224" s="19"/>
      <c r="H224" s="19" t="s">
        <v>223</v>
      </c>
      <c r="I224" s="19"/>
      <c r="J224" s="19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</row>
    <row r="225" spans="1:41" s="22" customFormat="1" ht="20" customHeight="1" outlineLevel="1">
      <c r="A225" s="18" t="s">
        <v>77</v>
      </c>
      <c r="B225" s="19" t="s">
        <v>427</v>
      </c>
      <c r="C225" s="19"/>
      <c r="D225" s="19" t="s">
        <v>428</v>
      </c>
      <c r="E225" s="19" t="s">
        <v>30</v>
      </c>
      <c r="F225" s="20">
        <v>7.9100000000000004E-2</v>
      </c>
      <c r="G225" s="19"/>
      <c r="H225" s="19" t="s">
        <v>223</v>
      </c>
      <c r="I225" s="19"/>
      <c r="J225" s="19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</row>
    <row r="226" spans="1:41" s="22" customFormat="1" ht="20" customHeight="1" outlineLevel="1">
      <c r="A226" s="18" t="s">
        <v>77</v>
      </c>
      <c r="B226" s="19" t="s">
        <v>429</v>
      </c>
      <c r="C226" s="19"/>
      <c r="D226" s="19" t="s">
        <v>430</v>
      </c>
      <c r="E226" s="19" t="s">
        <v>30</v>
      </c>
      <c r="F226" s="20">
        <v>8.5099999999999995E-2</v>
      </c>
      <c r="G226" s="19"/>
      <c r="H226" s="19" t="s">
        <v>223</v>
      </c>
      <c r="I226" s="19"/>
      <c r="J226" s="19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</row>
    <row r="227" spans="1:41" s="22" customFormat="1" ht="20" customHeight="1" outlineLevel="1">
      <c r="A227" s="18" t="s">
        <v>77</v>
      </c>
      <c r="B227" s="19" t="s">
        <v>431</v>
      </c>
      <c r="C227" s="19"/>
      <c r="D227" s="19" t="s">
        <v>432</v>
      </c>
      <c r="E227" s="19" t="s">
        <v>30</v>
      </c>
      <c r="F227" s="20">
        <v>9.0999999999999998E-2</v>
      </c>
      <c r="G227" s="19"/>
      <c r="H227" s="19" t="s">
        <v>223</v>
      </c>
      <c r="I227" s="19"/>
      <c r="J227" s="19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</row>
    <row r="228" spans="1:41" ht="20" customHeight="1" outlineLevel="1">
      <c r="A228" s="23" t="s">
        <v>77</v>
      </c>
      <c r="B228" s="24" t="s">
        <v>433</v>
      </c>
      <c r="C228" s="24"/>
      <c r="D228" s="24" t="s">
        <v>434</v>
      </c>
      <c r="E228" s="24" t="s">
        <v>31</v>
      </c>
      <c r="F228" s="25">
        <v>9.69E-2</v>
      </c>
      <c r="G228" s="24"/>
      <c r="H228" s="24" t="s">
        <v>223</v>
      </c>
      <c r="I228" s="24"/>
      <c r="J228" s="24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</row>
    <row r="229" spans="1:41" ht="20" customHeight="1" outlineLevel="1">
      <c r="A229" s="23" t="s">
        <v>77</v>
      </c>
      <c r="B229" s="24" t="s">
        <v>435</v>
      </c>
      <c r="C229" s="24"/>
      <c r="D229" s="24" t="s">
        <v>436</v>
      </c>
      <c r="E229" s="24" t="s">
        <v>30</v>
      </c>
      <c r="F229" s="25">
        <v>0.10878</v>
      </c>
      <c r="G229" s="24"/>
      <c r="H229" s="24" t="s">
        <v>223</v>
      </c>
      <c r="I229" s="24"/>
      <c r="J229" s="24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</row>
    <row r="230" spans="1:41" ht="20" customHeight="1" outlineLevel="1">
      <c r="A230" s="23" t="s">
        <v>77</v>
      </c>
      <c r="B230" s="24" t="s">
        <v>437</v>
      </c>
      <c r="C230" s="24"/>
      <c r="D230" s="24" t="s">
        <v>438</v>
      </c>
      <c r="E230" s="24" t="s">
        <v>31</v>
      </c>
      <c r="F230" s="25">
        <v>0.16200000000000001</v>
      </c>
      <c r="G230" s="24"/>
      <c r="H230" s="24" t="s">
        <v>223</v>
      </c>
      <c r="I230" s="24"/>
      <c r="J230" s="24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</row>
    <row r="231" spans="1:41" ht="20" customHeight="1" outlineLevel="1">
      <c r="A231" s="10" t="s">
        <v>77</v>
      </c>
      <c r="B231" s="13" t="s">
        <v>439</v>
      </c>
      <c r="C231" s="13"/>
      <c r="D231" s="13" t="s">
        <v>440</v>
      </c>
      <c r="E231" s="13" t="s">
        <v>30</v>
      </c>
      <c r="F231" s="16">
        <v>8.4900000000000003E-2</v>
      </c>
      <c r="G231" s="13"/>
      <c r="H231" s="13" t="s">
        <v>223</v>
      </c>
      <c r="I231" s="13"/>
      <c r="J231" s="13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</row>
    <row r="232" spans="1:41" ht="20" customHeight="1" outlineLevel="1">
      <c r="A232" s="10" t="s">
        <v>77</v>
      </c>
      <c r="B232" s="13" t="s">
        <v>441</v>
      </c>
      <c r="C232" s="13"/>
      <c r="D232" s="13" t="s">
        <v>442</v>
      </c>
      <c r="E232" s="13" t="s">
        <v>30</v>
      </c>
      <c r="F232" s="16">
        <v>9.2600000000000002E-2</v>
      </c>
      <c r="G232" s="13"/>
      <c r="H232" s="13" t="s">
        <v>223</v>
      </c>
      <c r="I232" s="13"/>
      <c r="J232" s="13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</row>
    <row r="233" spans="1:41" ht="20" customHeight="1" outlineLevel="1">
      <c r="A233" s="10" t="s">
        <v>77</v>
      </c>
      <c r="B233" s="13" t="s">
        <v>443</v>
      </c>
      <c r="C233" s="13"/>
      <c r="D233" s="13" t="s">
        <v>444</v>
      </c>
      <c r="E233" s="13" t="s">
        <v>30</v>
      </c>
      <c r="F233" s="16">
        <v>0.1004</v>
      </c>
      <c r="G233" s="13"/>
      <c r="H233" s="13" t="s">
        <v>223</v>
      </c>
      <c r="I233" s="13"/>
      <c r="J233" s="13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</row>
    <row r="234" spans="1:41" ht="20" customHeight="1" outlineLevel="1">
      <c r="A234" s="10" t="s">
        <v>77</v>
      </c>
      <c r="B234" s="13" t="s">
        <v>445</v>
      </c>
      <c r="C234" s="13"/>
      <c r="D234" s="13" t="s">
        <v>446</v>
      </c>
      <c r="E234" s="13" t="s">
        <v>30</v>
      </c>
      <c r="F234" s="16">
        <v>0.1082</v>
      </c>
      <c r="G234" s="13"/>
      <c r="H234" s="13" t="s">
        <v>223</v>
      </c>
      <c r="I234" s="13"/>
      <c r="J234" s="13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</row>
    <row r="235" spans="1:41" ht="20" customHeight="1" outlineLevel="1">
      <c r="A235" s="10" t="s">
        <v>77</v>
      </c>
      <c r="B235" s="13" t="s">
        <v>447</v>
      </c>
      <c r="C235" s="13"/>
      <c r="D235" s="13" t="s">
        <v>14</v>
      </c>
      <c r="E235" s="13" t="s">
        <v>30</v>
      </c>
      <c r="F235" s="16">
        <v>0.1159</v>
      </c>
      <c r="G235" s="13"/>
      <c r="H235" s="13" t="s">
        <v>223</v>
      </c>
      <c r="I235" s="13"/>
      <c r="J235" s="13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</row>
    <row r="236" spans="1:41" ht="20" customHeight="1" outlineLevel="1">
      <c r="A236" s="10" t="s">
        <v>77</v>
      </c>
      <c r="B236" s="13" t="s">
        <v>448</v>
      </c>
      <c r="C236" s="13"/>
      <c r="D236" s="13" t="s">
        <v>449</v>
      </c>
      <c r="E236" s="13" t="s">
        <v>30</v>
      </c>
      <c r="F236" s="16">
        <v>0.1237</v>
      </c>
      <c r="G236" s="13"/>
      <c r="H236" s="13" t="s">
        <v>223</v>
      </c>
      <c r="I236" s="13"/>
      <c r="J236" s="13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</row>
    <row r="237" spans="1:41" ht="20" customHeight="1" outlineLevel="1">
      <c r="A237" s="10" t="s">
        <v>77</v>
      </c>
      <c r="B237" s="13" t="s">
        <v>450</v>
      </c>
      <c r="C237" s="13"/>
      <c r="D237" s="13" t="s">
        <v>451</v>
      </c>
      <c r="E237" s="13" t="s">
        <v>30</v>
      </c>
      <c r="F237" s="16">
        <v>0.13139999999999999</v>
      </c>
      <c r="G237" s="13"/>
      <c r="H237" s="13" t="s">
        <v>223</v>
      </c>
      <c r="I237" s="13"/>
      <c r="J237" s="13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</row>
    <row r="238" spans="1:41" ht="20" customHeight="1" outlineLevel="1">
      <c r="A238" s="10" t="s">
        <v>77</v>
      </c>
      <c r="B238" s="13" t="s">
        <v>452</v>
      </c>
      <c r="C238" s="13"/>
      <c r="D238" s="13" t="s">
        <v>453</v>
      </c>
      <c r="E238" s="13" t="s">
        <v>31</v>
      </c>
      <c r="F238" s="16">
        <v>0.13919999999999999</v>
      </c>
      <c r="G238" s="13"/>
      <c r="H238" s="13" t="s">
        <v>223</v>
      </c>
      <c r="I238" s="13"/>
      <c r="J238" s="13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</row>
    <row r="239" spans="1:41" ht="20" customHeight="1" outlineLevel="1">
      <c r="A239" s="10" t="s">
        <v>77</v>
      </c>
      <c r="B239" s="13" t="s">
        <v>454</v>
      </c>
      <c r="C239" s="13"/>
      <c r="D239" s="13" t="s">
        <v>455</v>
      </c>
      <c r="E239" s="13" t="s">
        <v>31</v>
      </c>
      <c r="F239" s="16">
        <v>0.14699999999999999</v>
      </c>
      <c r="G239" s="13"/>
      <c r="H239" s="13" t="s">
        <v>223</v>
      </c>
      <c r="I239" s="13"/>
      <c r="J239" s="13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</row>
    <row r="240" spans="1:41" ht="20" customHeight="1" outlineLevel="1">
      <c r="A240" s="10" t="s">
        <v>77</v>
      </c>
      <c r="B240" s="13" t="s">
        <v>456</v>
      </c>
      <c r="C240" s="13"/>
      <c r="D240" s="13" t="s">
        <v>457</v>
      </c>
      <c r="E240" s="13" t="s">
        <v>31</v>
      </c>
      <c r="F240" s="16">
        <v>0.1547</v>
      </c>
      <c r="G240" s="13"/>
      <c r="H240" s="13" t="s">
        <v>223</v>
      </c>
      <c r="I240" s="13"/>
      <c r="J240" s="13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</row>
    <row r="241" spans="1:41" ht="20" customHeight="1" outlineLevel="1">
      <c r="A241" s="10" t="s">
        <v>77</v>
      </c>
      <c r="B241" s="13" t="s">
        <v>458</v>
      </c>
      <c r="C241" s="13"/>
      <c r="D241" s="13" t="s">
        <v>459</v>
      </c>
      <c r="E241" s="13" t="s">
        <v>31</v>
      </c>
      <c r="F241" s="16">
        <v>0.16250000000000001</v>
      </c>
      <c r="G241" s="13"/>
      <c r="H241" s="13" t="s">
        <v>223</v>
      </c>
      <c r="I241" s="13"/>
      <c r="J241" s="13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</row>
    <row r="242" spans="1:41" ht="20" customHeight="1" outlineLevel="1">
      <c r="A242" s="10" t="s">
        <v>77</v>
      </c>
      <c r="B242" s="13" t="s">
        <v>460</v>
      </c>
      <c r="C242" s="13"/>
      <c r="D242" s="13" t="s">
        <v>461</v>
      </c>
      <c r="E242" s="13" t="s">
        <v>31</v>
      </c>
      <c r="F242" s="16">
        <v>0.17019999999999999</v>
      </c>
      <c r="G242" s="13"/>
      <c r="H242" s="13" t="s">
        <v>223</v>
      </c>
      <c r="I242" s="13"/>
      <c r="J242" s="13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</row>
    <row r="243" spans="1:41" ht="20" customHeight="1" outlineLevel="1">
      <c r="A243" s="10" t="s">
        <v>77</v>
      </c>
      <c r="B243" s="13" t="s">
        <v>462</v>
      </c>
      <c r="C243" s="13"/>
      <c r="D243" s="13" t="s">
        <v>463</v>
      </c>
      <c r="E243" s="13" t="s">
        <v>31</v>
      </c>
      <c r="F243" s="16">
        <v>0.17799999999999999</v>
      </c>
      <c r="G243" s="13"/>
      <c r="H243" s="13" t="s">
        <v>223</v>
      </c>
      <c r="I243" s="13"/>
      <c r="J243" s="13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</row>
    <row r="244" spans="1:41" ht="20" customHeight="1" outlineLevel="1">
      <c r="A244" s="10" t="s">
        <v>77</v>
      </c>
      <c r="B244" s="13" t="s">
        <v>464</v>
      </c>
      <c r="C244" s="13"/>
      <c r="D244" s="13" t="s">
        <v>465</v>
      </c>
      <c r="E244" s="13" t="s">
        <v>31</v>
      </c>
      <c r="F244" s="16">
        <v>0.18579999999999999</v>
      </c>
      <c r="G244" s="13"/>
      <c r="H244" s="13" t="s">
        <v>223</v>
      </c>
      <c r="I244" s="13"/>
      <c r="J244" s="13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</row>
    <row r="245" spans="1:41" ht="20" customHeight="1" outlineLevel="1">
      <c r="A245" s="10" t="s">
        <v>77</v>
      </c>
      <c r="B245" s="13" t="s">
        <v>466</v>
      </c>
      <c r="C245" s="13"/>
      <c r="D245" s="13" t="s">
        <v>467</v>
      </c>
      <c r="E245" s="13" t="s">
        <v>31</v>
      </c>
      <c r="F245" s="16">
        <v>0.19350000000000001</v>
      </c>
      <c r="G245" s="13"/>
      <c r="H245" s="13" t="s">
        <v>223</v>
      </c>
      <c r="I245" s="13"/>
      <c r="J245" s="13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</row>
    <row r="246" spans="1:41" ht="20" customHeight="1" outlineLevel="1">
      <c r="A246" s="10" t="s">
        <v>77</v>
      </c>
      <c r="B246" s="13" t="s">
        <v>468</v>
      </c>
      <c r="C246" s="13"/>
      <c r="D246" s="13" t="s">
        <v>469</v>
      </c>
      <c r="E246" s="13" t="s">
        <v>31</v>
      </c>
      <c r="F246" s="16">
        <v>0.20130000000000001</v>
      </c>
      <c r="G246" s="13"/>
      <c r="H246" s="13" t="s">
        <v>223</v>
      </c>
      <c r="I246" s="13"/>
      <c r="J246" s="13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</row>
    <row r="247" spans="1:41" ht="20" customHeight="1" outlineLevel="1">
      <c r="A247" s="10" t="s">
        <v>77</v>
      </c>
      <c r="B247" s="13" t="s">
        <v>470</v>
      </c>
      <c r="C247" s="13"/>
      <c r="D247" s="13" t="s">
        <v>471</v>
      </c>
      <c r="E247" s="13" t="s">
        <v>31</v>
      </c>
      <c r="F247" s="16">
        <v>0.20899999999999999</v>
      </c>
      <c r="G247" s="13"/>
      <c r="H247" s="13" t="s">
        <v>223</v>
      </c>
      <c r="I247" s="13"/>
      <c r="J247" s="13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</row>
    <row r="248" spans="1:41" ht="20" customHeight="1" outlineLevel="1">
      <c r="A248" s="10" t="s">
        <v>77</v>
      </c>
      <c r="B248" s="13" t="s">
        <v>472</v>
      </c>
      <c r="C248" s="13"/>
      <c r="D248" s="13" t="s">
        <v>473</v>
      </c>
      <c r="E248" s="13" t="s">
        <v>31</v>
      </c>
      <c r="F248" s="16">
        <v>0.21679999999999999</v>
      </c>
      <c r="G248" s="13"/>
      <c r="H248" s="13" t="s">
        <v>223</v>
      </c>
      <c r="I248" s="13"/>
      <c r="J248" s="13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</row>
    <row r="249" spans="1:41" ht="20" customHeight="1" outlineLevel="1">
      <c r="A249" s="10" t="s">
        <v>77</v>
      </c>
      <c r="B249" s="13" t="s">
        <v>474</v>
      </c>
      <c r="C249" s="13"/>
      <c r="D249" s="13" t="s">
        <v>475</v>
      </c>
      <c r="E249" s="13" t="s">
        <v>31</v>
      </c>
      <c r="F249" s="16">
        <v>0.22450000000000001</v>
      </c>
      <c r="G249" s="13"/>
      <c r="H249" s="13" t="s">
        <v>223</v>
      </c>
      <c r="I249" s="13"/>
      <c r="J249" s="13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</row>
    <row r="250" spans="1:41" ht="20" customHeight="1" outlineLevel="1">
      <c r="A250" s="10" t="s">
        <v>77</v>
      </c>
      <c r="B250" s="13" t="s">
        <v>476</v>
      </c>
      <c r="C250" s="13"/>
      <c r="D250" s="13" t="s">
        <v>477</v>
      </c>
      <c r="E250" s="13" t="s">
        <v>31</v>
      </c>
      <c r="F250" s="16">
        <v>0.23230000000000001</v>
      </c>
      <c r="G250" s="13"/>
      <c r="H250" s="13" t="s">
        <v>223</v>
      </c>
      <c r="I250" s="13"/>
      <c r="J250" s="13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</row>
    <row r="251" spans="1:41" ht="20" customHeight="1" outlineLevel="1">
      <c r="A251" s="10" t="s">
        <v>77</v>
      </c>
      <c r="B251" s="13" t="s">
        <v>478</v>
      </c>
      <c r="C251" s="13"/>
      <c r="D251" s="13" t="s">
        <v>479</v>
      </c>
      <c r="E251" s="13" t="s">
        <v>31</v>
      </c>
      <c r="F251" s="16">
        <v>0.24010000000000001</v>
      </c>
      <c r="G251" s="13"/>
      <c r="H251" s="13" t="s">
        <v>223</v>
      </c>
      <c r="I251" s="13"/>
      <c r="J251" s="13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</row>
    <row r="252" spans="1:41" ht="20" customHeight="1" outlineLevel="1">
      <c r="A252" s="10" t="s">
        <v>77</v>
      </c>
      <c r="B252" s="13" t="s">
        <v>480</v>
      </c>
      <c r="C252" s="13"/>
      <c r="D252" s="13" t="s">
        <v>481</v>
      </c>
      <c r="E252" s="13" t="s">
        <v>31</v>
      </c>
      <c r="F252" s="16">
        <v>0.24779999999999999</v>
      </c>
      <c r="G252" s="13"/>
      <c r="H252" s="13" t="s">
        <v>223</v>
      </c>
      <c r="I252" s="13"/>
      <c r="J252" s="13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</row>
    <row r="253" spans="1:41" ht="20" customHeight="1" outlineLevel="1">
      <c r="A253" s="10" t="s">
        <v>77</v>
      </c>
      <c r="B253" s="13" t="s">
        <v>482</v>
      </c>
      <c r="C253" s="13"/>
      <c r="D253" s="13" t="s">
        <v>483</v>
      </c>
      <c r="E253" s="13" t="s">
        <v>31</v>
      </c>
      <c r="F253" s="16">
        <v>0.25559999999999999</v>
      </c>
      <c r="G253" s="13"/>
      <c r="H253" s="13" t="s">
        <v>223</v>
      </c>
      <c r="I253" s="13"/>
      <c r="J253" s="13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</row>
    <row r="254" spans="1:41" ht="20" customHeight="1" outlineLevel="1">
      <c r="A254" s="10" t="s">
        <v>77</v>
      </c>
      <c r="B254" s="13" t="s">
        <v>484</v>
      </c>
      <c r="C254" s="13"/>
      <c r="D254" s="13" t="s">
        <v>485</v>
      </c>
      <c r="E254" s="13" t="s">
        <v>31</v>
      </c>
      <c r="F254" s="16">
        <v>0.26329999999999998</v>
      </c>
      <c r="G254" s="13"/>
      <c r="H254" s="13" t="s">
        <v>223</v>
      </c>
      <c r="I254" s="13"/>
      <c r="J254" s="13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</row>
    <row r="255" spans="1:41" ht="20" customHeight="1" outlineLevel="1">
      <c r="A255" s="10" t="s">
        <v>77</v>
      </c>
      <c r="B255" s="13" t="s">
        <v>486</v>
      </c>
      <c r="C255" s="13"/>
      <c r="D255" s="13" t="s">
        <v>487</v>
      </c>
      <c r="E255" s="13" t="s">
        <v>31</v>
      </c>
      <c r="F255" s="16">
        <v>0.27110000000000001</v>
      </c>
      <c r="G255" s="13"/>
      <c r="H255" s="13" t="s">
        <v>223</v>
      </c>
      <c r="I255" s="13"/>
      <c r="J255" s="13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</row>
    <row r="256" spans="1:41" ht="20" customHeight="1" outlineLevel="1">
      <c r="A256" s="10" t="s">
        <v>77</v>
      </c>
      <c r="B256" s="13" t="s">
        <v>488</v>
      </c>
      <c r="C256" s="13"/>
      <c r="D256" s="13" t="s">
        <v>489</v>
      </c>
      <c r="E256" s="13" t="s">
        <v>31</v>
      </c>
      <c r="F256" s="16">
        <v>0.27889999999999998</v>
      </c>
      <c r="G256" s="13"/>
      <c r="H256" s="13" t="s">
        <v>223</v>
      </c>
      <c r="I256" s="13"/>
      <c r="J256" s="13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</row>
    <row r="257" spans="1:41" ht="20" customHeight="1" outlineLevel="1">
      <c r="A257" s="10" t="s">
        <v>77</v>
      </c>
      <c r="B257" s="13" t="s">
        <v>490</v>
      </c>
      <c r="C257" s="13"/>
      <c r="D257" s="13" t="s">
        <v>491</v>
      </c>
      <c r="E257" s="13" t="s">
        <v>31</v>
      </c>
      <c r="F257" s="16">
        <v>0.28660000000000002</v>
      </c>
      <c r="G257" s="13"/>
      <c r="H257" s="13" t="s">
        <v>223</v>
      </c>
      <c r="I257" s="13"/>
      <c r="J257" s="13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</row>
    <row r="258" spans="1:41" ht="20" customHeight="1" outlineLevel="1">
      <c r="A258" s="10" t="s">
        <v>77</v>
      </c>
      <c r="B258" s="13" t="s">
        <v>492</v>
      </c>
      <c r="C258" s="13"/>
      <c r="D258" s="13" t="s">
        <v>493</v>
      </c>
      <c r="E258" s="13" t="s">
        <v>31</v>
      </c>
      <c r="F258" s="16">
        <v>0.29399999999999998</v>
      </c>
      <c r="G258" s="13"/>
      <c r="H258" s="13" t="s">
        <v>223</v>
      </c>
      <c r="I258" s="13"/>
      <c r="J258" s="13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</row>
    <row r="259" spans="1:41" ht="20" customHeight="1" outlineLevel="1">
      <c r="A259" s="10" t="s">
        <v>77</v>
      </c>
      <c r="B259" s="13" t="s">
        <v>494</v>
      </c>
      <c r="C259" s="13"/>
      <c r="D259" s="13" t="s">
        <v>495</v>
      </c>
      <c r="E259" s="13" t="s">
        <v>31</v>
      </c>
      <c r="F259" s="16">
        <v>0.30209999999999998</v>
      </c>
      <c r="G259" s="13"/>
      <c r="H259" s="13" t="s">
        <v>223</v>
      </c>
      <c r="I259" s="13"/>
      <c r="J259" s="13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</row>
    <row r="260" spans="1:41" ht="20" customHeight="1" outlineLevel="1">
      <c r="A260" s="10" t="s">
        <v>77</v>
      </c>
      <c r="B260" s="13" t="s">
        <v>496</v>
      </c>
      <c r="C260" s="13"/>
      <c r="D260" s="13" t="s">
        <v>497</v>
      </c>
      <c r="E260" s="13" t="s">
        <v>31</v>
      </c>
      <c r="F260" s="16">
        <v>0.30990000000000001</v>
      </c>
      <c r="G260" s="13"/>
      <c r="H260" s="13" t="s">
        <v>223</v>
      </c>
      <c r="I260" s="13"/>
      <c r="J260" s="13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</row>
    <row r="261" spans="1:41" ht="20" customHeight="1" outlineLevel="1">
      <c r="A261" s="10" t="s">
        <v>77</v>
      </c>
      <c r="B261" s="13" t="s">
        <v>498</v>
      </c>
      <c r="C261" s="13"/>
      <c r="D261" s="13" t="s">
        <v>499</v>
      </c>
      <c r="E261" s="13" t="s">
        <v>31</v>
      </c>
      <c r="F261" s="16">
        <v>0.31769999999999998</v>
      </c>
      <c r="G261" s="13"/>
      <c r="H261" s="13" t="s">
        <v>223</v>
      </c>
      <c r="I261" s="13"/>
      <c r="J261" s="13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</row>
    <row r="262" spans="1:41" ht="20" customHeight="1" outlineLevel="1">
      <c r="A262" s="10" t="s">
        <v>77</v>
      </c>
      <c r="B262" s="13" t="s">
        <v>500</v>
      </c>
      <c r="C262" s="13"/>
      <c r="D262" s="13" t="s">
        <v>501</v>
      </c>
      <c r="E262" s="13" t="s">
        <v>31</v>
      </c>
      <c r="F262" s="16">
        <v>0.32540000000000002</v>
      </c>
      <c r="G262" s="13"/>
      <c r="H262" s="13" t="s">
        <v>223</v>
      </c>
      <c r="I262" s="13"/>
      <c r="J262" s="13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</row>
    <row r="263" spans="1:41" ht="20" customHeight="1" outlineLevel="1">
      <c r="A263" s="10" t="s">
        <v>77</v>
      </c>
      <c r="B263" s="13" t="s">
        <v>502</v>
      </c>
      <c r="C263" s="13"/>
      <c r="D263" s="13" t="s">
        <v>13</v>
      </c>
      <c r="E263" s="13" t="s">
        <v>31</v>
      </c>
      <c r="F263" s="16">
        <v>0.3332</v>
      </c>
      <c r="G263" s="13"/>
      <c r="H263" s="13" t="s">
        <v>223</v>
      </c>
      <c r="I263" s="13"/>
      <c r="J263" s="13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</row>
    <row r="264" spans="1:41" ht="20" customHeight="1" outlineLevel="1">
      <c r="A264" s="10" t="s">
        <v>77</v>
      </c>
      <c r="B264" s="13" t="s">
        <v>503</v>
      </c>
      <c r="C264" s="13"/>
      <c r="D264" s="13" t="s">
        <v>504</v>
      </c>
      <c r="E264" s="13" t="s">
        <v>31</v>
      </c>
      <c r="F264" s="16">
        <v>0.34089999999999998</v>
      </c>
      <c r="G264" s="13"/>
      <c r="H264" s="13" t="s">
        <v>223</v>
      </c>
      <c r="I264" s="13"/>
      <c r="J264" s="13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</row>
    <row r="265" spans="1:41" ht="20" customHeight="1" outlineLevel="1">
      <c r="A265" s="10" t="s">
        <v>77</v>
      </c>
      <c r="B265" s="13" t="s">
        <v>505</v>
      </c>
      <c r="C265" s="13"/>
      <c r="D265" s="13" t="s">
        <v>506</v>
      </c>
      <c r="E265" s="13" t="s">
        <v>30</v>
      </c>
      <c r="F265" s="16">
        <v>0.1249</v>
      </c>
      <c r="G265" s="13"/>
      <c r="H265" s="13" t="s">
        <v>223</v>
      </c>
      <c r="I265" s="13"/>
      <c r="J265" s="13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</row>
    <row r="266" spans="1:41" ht="20" customHeight="1" outlineLevel="1">
      <c r="A266" s="10" t="s">
        <v>77</v>
      </c>
      <c r="B266" s="13" t="s">
        <v>507</v>
      </c>
      <c r="C266" s="13"/>
      <c r="D266" s="13" t="s">
        <v>508</v>
      </c>
      <c r="E266" s="13" t="s">
        <v>30</v>
      </c>
      <c r="F266" s="16">
        <v>0.1348</v>
      </c>
      <c r="G266" s="13"/>
      <c r="H266" s="13" t="s">
        <v>223</v>
      </c>
      <c r="I266" s="13"/>
      <c r="J266" s="13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</row>
    <row r="267" spans="1:41" ht="20" customHeight="1" outlineLevel="1">
      <c r="A267" s="10" t="s">
        <v>77</v>
      </c>
      <c r="B267" s="13" t="s">
        <v>509</v>
      </c>
      <c r="C267" s="13"/>
      <c r="D267" s="13" t="s">
        <v>510</v>
      </c>
      <c r="E267" s="13" t="s">
        <v>30</v>
      </c>
      <c r="F267" s="16">
        <v>0.14460000000000001</v>
      </c>
      <c r="G267" s="13"/>
      <c r="H267" s="13" t="s">
        <v>223</v>
      </c>
      <c r="I267" s="13"/>
      <c r="J267" s="13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</row>
    <row r="268" spans="1:41" ht="20" customHeight="1" outlineLevel="1">
      <c r="A268" s="10" t="s">
        <v>77</v>
      </c>
      <c r="B268" s="13" t="s">
        <v>511</v>
      </c>
      <c r="C268" s="13"/>
      <c r="D268" s="13" t="s">
        <v>512</v>
      </c>
      <c r="E268" s="13" t="s">
        <v>30</v>
      </c>
      <c r="F268" s="16">
        <v>0.15440000000000001</v>
      </c>
      <c r="G268" s="13"/>
      <c r="H268" s="13" t="s">
        <v>223</v>
      </c>
      <c r="I268" s="13"/>
      <c r="J268" s="13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</row>
    <row r="269" spans="1:41" ht="20" customHeight="1" outlineLevel="1">
      <c r="A269" s="10" t="s">
        <v>77</v>
      </c>
      <c r="B269" s="13" t="s">
        <v>513</v>
      </c>
      <c r="C269" s="13"/>
      <c r="D269" s="13" t="s">
        <v>514</v>
      </c>
      <c r="E269" s="13" t="s">
        <v>30</v>
      </c>
      <c r="F269" s="16">
        <v>0.1643</v>
      </c>
      <c r="G269" s="13"/>
      <c r="H269" s="13" t="s">
        <v>223</v>
      </c>
      <c r="I269" s="13"/>
      <c r="J269" s="13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</row>
    <row r="270" spans="1:41" ht="20" customHeight="1" outlineLevel="1">
      <c r="A270" s="10" t="s">
        <v>77</v>
      </c>
      <c r="B270" s="13" t="s">
        <v>515</v>
      </c>
      <c r="C270" s="13"/>
      <c r="D270" s="13" t="s">
        <v>516</v>
      </c>
      <c r="E270" s="13" t="s">
        <v>30</v>
      </c>
      <c r="F270" s="16">
        <v>0.1741</v>
      </c>
      <c r="G270" s="13"/>
      <c r="H270" s="13" t="s">
        <v>223</v>
      </c>
      <c r="I270" s="13"/>
      <c r="J270" s="13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</row>
    <row r="271" spans="1:41" ht="20" customHeight="1" outlineLevel="1">
      <c r="A271" s="10" t="s">
        <v>77</v>
      </c>
      <c r="B271" s="13" t="s">
        <v>517</v>
      </c>
      <c r="C271" s="13"/>
      <c r="D271" s="13" t="s">
        <v>518</v>
      </c>
      <c r="E271" s="13" t="s">
        <v>30</v>
      </c>
      <c r="F271" s="16">
        <v>0.17230000000000001</v>
      </c>
      <c r="G271" s="13"/>
      <c r="H271" s="13" t="s">
        <v>223</v>
      </c>
      <c r="I271" s="13"/>
      <c r="J271" s="13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</row>
    <row r="272" spans="1:41" ht="20" customHeight="1" outlineLevel="1">
      <c r="A272" s="10" t="s">
        <v>77</v>
      </c>
      <c r="B272" s="13" t="s">
        <v>519</v>
      </c>
      <c r="C272" s="13"/>
      <c r="D272" s="13" t="s">
        <v>520</v>
      </c>
      <c r="E272" s="13" t="s">
        <v>30</v>
      </c>
      <c r="F272" s="16">
        <v>0.1845</v>
      </c>
      <c r="G272" s="13"/>
      <c r="H272" s="13" t="s">
        <v>223</v>
      </c>
      <c r="I272" s="13"/>
      <c r="J272" s="13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</row>
    <row r="273" spans="1:41" ht="20" customHeight="1" outlineLevel="1">
      <c r="A273" s="10" t="s">
        <v>77</v>
      </c>
      <c r="B273" s="13" t="s">
        <v>521</v>
      </c>
      <c r="C273" s="13"/>
      <c r="D273" s="13" t="s">
        <v>522</v>
      </c>
      <c r="E273" s="13" t="s">
        <v>30</v>
      </c>
      <c r="F273" s="16">
        <v>0.1966</v>
      </c>
      <c r="G273" s="13"/>
      <c r="H273" s="13" t="s">
        <v>223</v>
      </c>
      <c r="I273" s="13"/>
      <c r="J273" s="13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</row>
    <row r="274" spans="1:41" ht="20" customHeight="1" outlineLevel="1">
      <c r="A274" s="10" t="s">
        <v>77</v>
      </c>
      <c r="B274" s="13" t="s">
        <v>523</v>
      </c>
      <c r="C274" s="13"/>
      <c r="D274" s="13" t="s">
        <v>524</v>
      </c>
      <c r="E274" s="13" t="s">
        <v>30</v>
      </c>
      <c r="F274" s="16">
        <v>0.2087</v>
      </c>
      <c r="G274" s="13"/>
      <c r="H274" s="13" t="s">
        <v>223</v>
      </c>
      <c r="I274" s="13"/>
      <c r="J274" s="13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</row>
    <row r="275" spans="1:41" ht="20" customHeight="1" outlineLevel="1">
      <c r="A275" s="10" t="s">
        <v>77</v>
      </c>
      <c r="B275" s="13" t="s">
        <v>525</v>
      </c>
      <c r="C275" s="13"/>
      <c r="D275" s="13" t="s">
        <v>526</v>
      </c>
      <c r="E275" s="13" t="s">
        <v>30</v>
      </c>
      <c r="F275" s="16">
        <v>0.2208</v>
      </c>
      <c r="G275" s="13"/>
      <c r="H275" s="13" t="s">
        <v>223</v>
      </c>
      <c r="I275" s="13"/>
      <c r="J275" s="13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</row>
    <row r="276" spans="1:41" ht="20" customHeight="1" outlineLevel="1">
      <c r="A276" s="10" t="s">
        <v>77</v>
      </c>
      <c r="B276" s="13" t="s">
        <v>527</v>
      </c>
      <c r="C276" s="13"/>
      <c r="D276" s="13" t="s">
        <v>528</v>
      </c>
      <c r="E276" s="13" t="s">
        <v>30</v>
      </c>
      <c r="F276" s="16">
        <v>0.23300000000000001</v>
      </c>
      <c r="G276" s="13"/>
      <c r="H276" s="13" t="s">
        <v>223</v>
      </c>
      <c r="I276" s="13"/>
      <c r="J276" s="13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</row>
    <row r="277" spans="1:41" ht="20" customHeight="1" outlineLevel="1">
      <c r="A277" s="10" t="s">
        <v>77</v>
      </c>
      <c r="B277" s="13" t="s">
        <v>529</v>
      </c>
      <c r="C277" s="13"/>
      <c r="D277" s="13" t="s">
        <v>530</v>
      </c>
      <c r="E277" s="13" t="s">
        <v>30</v>
      </c>
      <c r="F277" s="16">
        <v>0.24510000000000001</v>
      </c>
      <c r="G277" s="13"/>
      <c r="H277" s="13" t="s">
        <v>223</v>
      </c>
      <c r="I277" s="13"/>
      <c r="J277" s="13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</row>
    <row r="278" spans="1:41" ht="20" customHeight="1" outlineLevel="1">
      <c r="A278" s="10" t="s">
        <v>77</v>
      </c>
      <c r="B278" s="13" t="s">
        <v>531</v>
      </c>
      <c r="C278" s="13"/>
      <c r="D278" s="13" t="s">
        <v>532</v>
      </c>
      <c r="E278" s="13" t="s">
        <v>30</v>
      </c>
      <c r="F278" s="16">
        <v>0.25719999999999998</v>
      </c>
      <c r="G278" s="13"/>
      <c r="H278" s="13" t="s">
        <v>223</v>
      </c>
      <c r="I278" s="13"/>
      <c r="J278" s="13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</row>
    <row r="279" spans="1:41" ht="20" customHeight="1" outlineLevel="1">
      <c r="A279" s="10" t="s">
        <v>77</v>
      </c>
      <c r="B279" s="13" t="s">
        <v>533</v>
      </c>
      <c r="C279" s="13"/>
      <c r="D279" s="13" t="s">
        <v>534</v>
      </c>
      <c r="E279" s="13" t="s">
        <v>31</v>
      </c>
      <c r="F279" s="16">
        <v>0.26939999999999997</v>
      </c>
      <c r="G279" s="13"/>
      <c r="H279" s="13" t="s">
        <v>223</v>
      </c>
      <c r="I279" s="13"/>
      <c r="J279" s="13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</row>
    <row r="280" spans="1:41" ht="20" customHeight="1" outlineLevel="1">
      <c r="A280" s="10" t="s">
        <v>77</v>
      </c>
      <c r="B280" s="13" t="s">
        <v>535</v>
      </c>
      <c r="C280" s="13"/>
      <c r="D280" s="13" t="s">
        <v>536</v>
      </c>
      <c r="E280" s="13" t="s">
        <v>30</v>
      </c>
      <c r="F280" s="16">
        <v>0.2389</v>
      </c>
      <c r="G280" s="13"/>
      <c r="H280" s="13" t="s">
        <v>223</v>
      </c>
      <c r="I280" s="13"/>
      <c r="J280" s="13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</row>
    <row r="281" spans="1:41" ht="20" customHeight="1" outlineLevel="1">
      <c r="A281" s="10" t="s">
        <v>77</v>
      </c>
      <c r="B281" s="13" t="s">
        <v>537</v>
      </c>
      <c r="C281" s="13"/>
      <c r="D281" s="13" t="s">
        <v>538</v>
      </c>
      <c r="E281" s="13" t="s">
        <v>30</v>
      </c>
      <c r="F281" s="16">
        <v>0.25359999999999999</v>
      </c>
      <c r="G281" s="13"/>
      <c r="H281" s="13" t="s">
        <v>223</v>
      </c>
      <c r="I281" s="13"/>
      <c r="J281" s="13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</row>
    <row r="282" spans="1:41" ht="20" customHeight="1" outlineLevel="1">
      <c r="A282" s="10" t="s">
        <v>77</v>
      </c>
      <c r="B282" s="13" t="s">
        <v>539</v>
      </c>
      <c r="C282" s="13"/>
      <c r="D282" s="13" t="s">
        <v>540</v>
      </c>
      <c r="E282" s="13" t="s">
        <v>30</v>
      </c>
      <c r="F282" s="16">
        <v>0.26829999999999998</v>
      </c>
      <c r="G282" s="13"/>
      <c r="H282" s="13" t="s">
        <v>223</v>
      </c>
      <c r="I282" s="13"/>
      <c r="J282" s="13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</row>
    <row r="283" spans="1:41" ht="20" customHeight="1" outlineLevel="1">
      <c r="A283" s="10" t="s">
        <v>77</v>
      </c>
      <c r="B283" s="13" t="s">
        <v>541</v>
      </c>
      <c r="C283" s="13"/>
      <c r="D283" s="13" t="s">
        <v>542</v>
      </c>
      <c r="E283" s="13" t="s">
        <v>30</v>
      </c>
      <c r="F283" s="16">
        <v>0.28299999999999997</v>
      </c>
      <c r="G283" s="13"/>
      <c r="H283" s="13" t="s">
        <v>223</v>
      </c>
      <c r="I283" s="13"/>
      <c r="J283" s="13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</row>
    <row r="284" spans="1:41" ht="20" customHeight="1" outlineLevel="1">
      <c r="A284" s="10" t="s">
        <v>77</v>
      </c>
      <c r="B284" s="13" t="s">
        <v>543</v>
      </c>
      <c r="C284" s="13"/>
      <c r="D284" s="13" t="s">
        <v>544</v>
      </c>
      <c r="E284" s="13" t="s">
        <v>30</v>
      </c>
      <c r="F284" s="16">
        <v>0.29770000000000002</v>
      </c>
      <c r="G284" s="13"/>
      <c r="H284" s="13" t="s">
        <v>223</v>
      </c>
      <c r="I284" s="13"/>
      <c r="J284" s="13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</row>
    <row r="285" spans="1:41" ht="20" customHeight="1" outlineLevel="1">
      <c r="A285" s="10" t="s">
        <v>77</v>
      </c>
      <c r="B285" s="13" t="s">
        <v>545</v>
      </c>
      <c r="C285" s="13"/>
      <c r="D285" s="13" t="s">
        <v>546</v>
      </c>
      <c r="E285" s="13" t="s">
        <v>30</v>
      </c>
      <c r="F285" s="16">
        <v>0.31240000000000001</v>
      </c>
      <c r="G285" s="13"/>
      <c r="H285" s="13" t="s">
        <v>223</v>
      </c>
      <c r="I285" s="13"/>
      <c r="J285" s="13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</row>
    <row r="286" spans="1:41" ht="20" customHeight="1" outlineLevel="1">
      <c r="A286" s="10" t="s">
        <v>77</v>
      </c>
      <c r="B286" s="13" t="s">
        <v>547</v>
      </c>
      <c r="C286" s="13"/>
      <c r="D286" s="13" t="s">
        <v>548</v>
      </c>
      <c r="E286" s="13" t="s">
        <v>30</v>
      </c>
      <c r="F286" s="16">
        <v>0.3271</v>
      </c>
      <c r="G286" s="13"/>
      <c r="H286" s="13" t="s">
        <v>223</v>
      </c>
      <c r="I286" s="13"/>
      <c r="J286" s="13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</row>
    <row r="287" spans="1:41" ht="20" customHeight="1" outlineLevel="1">
      <c r="A287" s="10" t="s">
        <v>77</v>
      </c>
      <c r="B287" s="13" t="s">
        <v>549</v>
      </c>
      <c r="C287" s="13"/>
      <c r="D287" s="13" t="s">
        <v>550</v>
      </c>
      <c r="E287" s="13" t="s">
        <v>30</v>
      </c>
      <c r="F287" s="16">
        <v>0.34179999999999999</v>
      </c>
      <c r="G287" s="13"/>
      <c r="H287" s="13" t="s">
        <v>223</v>
      </c>
      <c r="I287" s="13"/>
      <c r="J287" s="13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</row>
    <row r="288" spans="1:41" ht="20" customHeight="1" outlineLevel="1">
      <c r="A288" s="10" t="s">
        <v>77</v>
      </c>
      <c r="B288" s="13" t="s">
        <v>551</v>
      </c>
      <c r="C288" s="13"/>
      <c r="D288" s="13" t="s">
        <v>552</v>
      </c>
      <c r="E288" s="13" t="s">
        <v>30</v>
      </c>
      <c r="F288" s="16">
        <v>0.28589999999999999</v>
      </c>
      <c r="G288" s="13"/>
      <c r="H288" s="13" t="s">
        <v>223</v>
      </c>
      <c r="I288" s="13"/>
      <c r="J288" s="13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</row>
    <row r="289" spans="1:41" ht="20" customHeight="1" outlineLevel="1">
      <c r="A289" s="10" t="s">
        <v>77</v>
      </c>
      <c r="B289" s="13" t="s">
        <v>553</v>
      </c>
      <c r="C289" s="13"/>
      <c r="D289" s="13" t="s">
        <v>554</v>
      </c>
      <c r="E289" s="13" t="s">
        <v>30</v>
      </c>
      <c r="F289" s="16">
        <v>0.3034</v>
      </c>
      <c r="G289" s="13"/>
      <c r="H289" s="13" t="s">
        <v>223</v>
      </c>
      <c r="I289" s="13"/>
      <c r="J289" s="13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</row>
    <row r="290" spans="1:41" ht="20" customHeight="1" outlineLevel="1">
      <c r="A290" s="10" t="s">
        <v>77</v>
      </c>
      <c r="B290" s="13" t="s">
        <v>555</v>
      </c>
      <c r="C290" s="13"/>
      <c r="D290" s="13" t="s">
        <v>556</v>
      </c>
      <c r="E290" s="13" t="s">
        <v>30</v>
      </c>
      <c r="F290" s="16">
        <v>0.32090000000000002</v>
      </c>
      <c r="G290" s="13"/>
      <c r="H290" s="13" t="s">
        <v>223</v>
      </c>
      <c r="I290" s="13"/>
      <c r="J290" s="13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</row>
    <row r="291" spans="1:41" ht="20" customHeight="1" outlineLevel="1">
      <c r="A291" s="10" t="s">
        <v>77</v>
      </c>
      <c r="B291" s="13" t="s">
        <v>557</v>
      </c>
      <c r="C291" s="13"/>
      <c r="D291" s="13" t="s">
        <v>558</v>
      </c>
      <c r="E291" s="13" t="s">
        <v>30</v>
      </c>
      <c r="F291" s="16">
        <v>0.33839999999999998</v>
      </c>
      <c r="G291" s="13"/>
      <c r="H291" s="13" t="s">
        <v>223</v>
      </c>
      <c r="I291" s="13"/>
      <c r="J291" s="13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</row>
    <row r="292" spans="1:41" ht="20" customHeight="1" outlineLevel="1">
      <c r="A292" s="10" t="s">
        <v>77</v>
      </c>
      <c r="B292" s="13" t="s">
        <v>559</v>
      </c>
      <c r="C292" s="13"/>
      <c r="D292" s="13" t="s">
        <v>560</v>
      </c>
      <c r="E292" s="13" t="s">
        <v>561</v>
      </c>
      <c r="F292" s="16">
        <v>0</v>
      </c>
      <c r="G292" s="13" t="s">
        <v>97</v>
      </c>
      <c r="H292" s="13"/>
      <c r="I292" s="13"/>
      <c r="J292" s="13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</row>
    <row r="293" spans="1:41" s="17" customFormat="1" ht="20" customHeight="1" outlineLevel="1">
      <c r="A293" s="10" t="s">
        <v>77</v>
      </c>
      <c r="B293" s="13" t="s">
        <v>562</v>
      </c>
      <c r="C293" s="13"/>
      <c r="D293" s="13" t="s">
        <v>20</v>
      </c>
      <c r="E293" s="13" t="s">
        <v>563</v>
      </c>
      <c r="F293" s="16">
        <v>6.9000000000000006E-2</v>
      </c>
      <c r="G293" s="13"/>
      <c r="H293" s="13" t="s">
        <v>223</v>
      </c>
      <c r="I293" s="13"/>
      <c r="J293" s="13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</row>
    <row r="294" spans="1:41" s="17" customFormat="1" ht="20" customHeight="1" outlineLevel="1">
      <c r="A294" s="10" t="s">
        <v>77</v>
      </c>
      <c r="B294" s="13" t="s">
        <v>564</v>
      </c>
      <c r="C294" s="13"/>
      <c r="D294" s="13" t="s">
        <v>329</v>
      </c>
      <c r="E294" s="13" t="s">
        <v>563</v>
      </c>
      <c r="F294" s="16">
        <v>8.6999999999999994E-2</v>
      </c>
      <c r="G294" s="13"/>
      <c r="H294" s="13" t="s">
        <v>223</v>
      </c>
      <c r="I294" s="13"/>
      <c r="J294" s="13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</row>
    <row r="295" spans="1:41" s="17" customFormat="1" ht="20" customHeight="1" outlineLevel="1">
      <c r="A295" s="10" t="s">
        <v>77</v>
      </c>
      <c r="B295" s="13" t="s">
        <v>565</v>
      </c>
      <c r="C295" s="13"/>
      <c r="D295" s="13" t="s">
        <v>566</v>
      </c>
      <c r="E295" s="13" t="s">
        <v>567</v>
      </c>
      <c r="F295" s="16">
        <v>5.6000000000000001E-2</v>
      </c>
      <c r="G295" s="13"/>
      <c r="H295" s="13" t="s">
        <v>568</v>
      </c>
      <c r="I295" s="13"/>
      <c r="J295" s="13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</row>
    <row r="296" spans="1:41" ht="20" customHeight="1" outlineLevel="1">
      <c r="A296" s="10" t="s">
        <v>569</v>
      </c>
      <c r="B296" s="13" t="s">
        <v>570</v>
      </c>
      <c r="C296" s="13"/>
      <c r="D296" s="13" t="s">
        <v>571</v>
      </c>
      <c r="E296" s="13" t="s">
        <v>572</v>
      </c>
      <c r="F296" s="16">
        <v>1.25E-3</v>
      </c>
      <c r="G296" s="13" t="s">
        <v>97</v>
      </c>
      <c r="H296" s="13"/>
      <c r="I296" s="13" t="s">
        <v>573</v>
      </c>
      <c r="J296" s="13">
        <v>20230104</v>
      </c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</row>
    <row r="297" spans="1:41" ht="20" customHeight="1" outlineLevel="1">
      <c r="A297" s="27" t="s">
        <v>569</v>
      </c>
      <c r="B297" s="28" t="s">
        <v>574</v>
      </c>
      <c r="C297" s="28"/>
      <c r="D297" s="28" t="s">
        <v>575</v>
      </c>
      <c r="E297" s="28" t="s">
        <v>576</v>
      </c>
      <c r="F297" s="29">
        <v>1.2E-2</v>
      </c>
      <c r="G297" s="28" t="s">
        <v>97</v>
      </c>
      <c r="H297" s="28"/>
      <c r="I297" s="28"/>
      <c r="J297" s="28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</row>
    <row r="298" spans="1:41" ht="20" customHeight="1" outlineLevel="1">
      <c r="A298" s="30" t="s">
        <v>569</v>
      </c>
      <c r="B298" s="30" t="s">
        <v>577</v>
      </c>
      <c r="C298" s="30"/>
      <c r="D298" s="30" t="s">
        <v>578</v>
      </c>
      <c r="E298" s="30" t="s">
        <v>572</v>
      </c>
      <c r="F298" s="31">
        <v>4.8399999999999997E-3</v>
      </c>
      <c r="G298" s="30" t="s">
        <v>97</v>
      </c>
      <c r="H298" s="30"/>
      <c r="I298" s="30" t="s">
        <v>579</v>
      </c>
      <c r="J298" s="30" t="s">
        <v>580</v>
      </c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</row>
    <row r="299" spans="1:41" ht="20" customHeight="1" outlineLevel="1">
      <c r="A299" s="30" t="s">
        <v>569</v>
      </c>
      <c r="B299" s="30" t="s">
        <v>581</v>
      </c>
      <c r="C299" s="30"/>
      <c r="D299" s="30" t="s">
        <v>582</v>
      </c>
      <c r="E299" s="30" t="s">
        <v>583</v>
      </c>
      <c r="F299" s="31">
        <v>7.2000000000000005E-4</v>
      </c>
      <c r="G299" s="30" t="s">
        <v>97</v>
      </c>
      <c r="H299" s="30"/>
      <c r="I299" s="30" t="s">
        <v>573</v>
      </c>
      <c r="J299" s="30">
        <v>20230104</v>
      </c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</row>
    <row r="300" spans="1:41" ht="20" customHeight="1" outlineLevel="1">
      <c r="A300" s="30" t="s">
        <v>569</v>
      </c>
      <c r="B300" s="30" t="s">
        <v>584</v>
      </c>
      <c r="C300" s="30"/>
      <c r="D300" s="30" t="s">
        <v>585</v>
      </c>
      <c r="E300" s="30" t="s">
        <v>572</v>
      </c>
      <c r="F300" s="31">
        <v>1.6000000000000001E-3</v>
      </c>
      <c r="G300" s="13" t="s">
        <v>97</v>
      </c>
      <c r="H300" s="30"/>
      <c r="I300" s="30" t="s">
        <v>579</v>
      </c>
      <c r="J300" s="30" t="s">
        <v>586</v>
      </c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</row>
    <row r="301" spans="1:41" ht="20" customHeight="1" outlineLevel="1">
      <c r="A301" s="30" t="s">
        <v>569</v>
      </c>
      <c r="B301" s="30" t="s">
        <v>587</v>
      </c>
      <c r="C301" s="30"/>
      <c r="D301" s="30" t="s">
        <v>588</v>
      </c>
      <c r="E301" s="30" t="s">
        <v>572</v>
      </c>
      <c r="F301" s="31">
        <v>1.4499999999999999E-3</v>
      </c>
      <c r="G301" s="13" t="s">
        <v>97</v>
      </c>
      <c r="H301" s="30"/>
      <c r="I301" s="30" t="s">
        <v>579</v>
      </c>
      <c r="J301" s="30" t="s">
        <v>589</v>
      </c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  <c r="AI301" s="14"/>
      <c r="AJ301" s="14"/>
      <c r="AK301" s="14"/>
      <c r="AL301" s="14"/>
      <c r="AM301" s="14"/>
      <c r="AN301" s="14"/>
      <c r="AO301" s="14"/>
    </row>
    <row r="302" spans="1:41" ht="20" customHeight="1" outlineLevel="1">
      <c r="A302" s="30" t="s">
        <v>569</v>
      </c>
      <c r="B302" s="30" t="s">
        <v>590</v>
      </c>
      <c r="C302" s="30"/>
      <c r="D302" s="30" t="s">
        <v>591</v>
      </c>
      <c r="E302" s="30" t="s">
        <v>572</v>
      </c>
      <c r="F302" s="31">
        <v>1.8E-3</v>
      </c>
      <c r="G302" s="13" t="s">
        <v>97</v>
      </c>
      <c r="H302" s="30"/>
      <c r="I302" s="30" t="s">
        <v>579</v>
      </c>
      <c r="J302" s="30" t="s">
        <v>589</v>
      </c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  <c r="AI302" s="14"/>
      <c r="AJ302" s="14"/>
      <c r="AK302" s="14"/>
      <c r="AL302" s="14"/>
      <c r="AM302" s="14"/>
      <c r="AN302" s="14"/>
      <c r="AO302" s="14"/>
    </row>
    <row r="303" spans="1:41" ht="20" customHeight="1" outlineLevel="1">
      <c r="A303" s="30" t="s">
        <v>569</v>
      </c>
      <c r="B303" s="30" t="s">
        <v>592</v>
      </c>
      <c r="C303" s="30"/>
      <c r="D303" s="30" t="s">
        <v>593</v>
      </c>
      <c r="E303" s="30" t="s">
        <v>594</v>
      </c>
      <c r="F303" s="31">
        <v>5.4999999999999997E-3</v>
      </c>
      <c r="G303" s="13" t="s">
        <v>97</v>
      </c>
      <c r="H303" s="30"/>
      <c r="I303" s="32" t="s">
        <v>595</v>
      </c>
      <c r="J303" s="32">
        <v>20230505</v>
      </c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  <c r="AI303" s="14"/>
      <c r="AJ303" s="14"/>
      <c r="AK303" s="14"/>
      <c r="AL303" s="14"/>
      <c r="AM303" s="14"/>
      <c r="AN303" s="14"/>
      <c r="AO303" s="14"/>
    </row>
    <row r="304" spans="1:41" ht="20" customHeight="1" outlineLevel="1">
      <c r="A304" s="30" t="s">
        <v>596</v>
      </c>
      <c r="B304" s="30" t="s">
        <v>597</v>
      </c>
      <c r="C304" s="30"/>
      <c r="D304" s="30" t="s">
        <v>598</v>
      </c>
      <c r="E304" s="30" t="s">
        <v>583</v>
      </c>
      <c r="F304" s="31">
        <v>1.9E-3</v>
      </c>
      <c r="G304" s="13" t="s">
        <v>97</v>
      </c>
      <c r="H304" s="30"/>
      <c r="I304" s="30" t="s">
        <v>579</v>
      </c>
      <c r="J304" s="30" t="s">
        <v>586</v>
      </c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</row>
    <row r="305" spans="1:41" ht="20" customHeight="1" outlineLevel="1">
      <c r="A305" s="30" t="s">
        <v>596</v>
      </c>
      <c r="B305" s="30" t="s">
        <v>599</v>
      </c>
      <c r="C305" s="30"/>
      <c r="D305" s="30" t="s">
        <v>600</v>
      </c>
      <c r="E305" s="30" t="s">
        <v>583</v>
      </c>
      <c r="F305" s="31">
        <v>2.5000000000000001E-3</v>
      </c>
      <c r="G305" s="13" t="s">
        <v>97</v>
      </c>
      <c r="H305" s="30"/>
      <c r="I305" s="30" t="s">
        <v>595</v>
      </c>
      <c r="J305" s="30" t="s">
        <v>601</v>
      </c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</row>
    <row r="306" spans="1:41" ht="20" customHeight="1" outlineLevel="1">
      <c r="A306" s="30" t="s">
        <v>596</v>
      </c>
      <c r="B306" s="30" t="s">
        <v>602</v>
      </c>
      <c r="C306" s="30"/>
      <c r="D306" s="30" t="s">
        <v>603</v>
      </c>
      <c r="E306" s="30" t="s">
        <v>583</v>
      </c>
      <c r="F306" s="31">
        <v>1.732E-3</v>
      </c>
      <c r="G306" s="13" t="s">
        <v>97</v>
      </c>
      <c r="H306" s="30"/>
      <c r="I306" s="30" t="s">
        <v>579</v>
      </c>
      <c r="J306" s="30" t="s">
        <v>586</v>
      </c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  <c r="AI306" s="14"/>
      <c r="AJ306" s="14"/>
      <c r="AK306" s="14"/>
      <c r="AL306" s="14"/>
      <c r="AM306" s="14"/>
      <c r="AN306" s="14"/>
      <c r="AO306" s="14"/>
    </row>
    <row r="307" spans="1:41" ht="20" customHeight="1" outlineLevel="1">
      <c r="A307" s="30" t="s">
        <v>596</v>
      </c>
      <c r="B307" s="30" t="s">
        <v>604</v>
      </c>
      <c r="C307" s="30"/>
      <c r="D307" s="32" t="s">
        <v>605</v>
      </c>
      <c r="E307" s="32" t="s">
        <v>606</v>
      </c>
      <c r="F307" s="33">
        <v>1E-3</v>
      </c>
      <c r="G307" s="13" t="s">
        <v>97</v>
      </c>
      <c r="H307" s="32"/>
      <c r="I307" s="32" t="s">
        <v>595</v>
      </c>
      <c r="J307" s="32">
        <v>20230505</v>
      </c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  <c r="AI307" s="14"/>
      <c r="AJ307" s="14"/>
      <c r="AK307" s="14"/>
      <c r="AL307" s="14"/>
      <c r="AM307" s="14"/>
      <c r="AN307" s="14"/>
      <c r="AO307" s="14"/>
    </row>
    <row r="308" spans="1:41" ht="20" customHeight="1" outlineLevel="1">
      <c r="A308" s="30" t="s">
        <v>596</v>
      </c>
      <c r="B308" s="30" t="s">
        <v>607</v>
      </c>
      <c r="C308" s="30"/>
      <c r="D308" s="32" t="s">
        <v>608</v>
      </c>
      <c r="E308" s="32" t="s">
        <v>606</v>
      </c>
      <c r="F308" s="33">
        <v>2E-3</v>
      </c>
      <c r="G308" s="13" t="s">
        <v>97</v>
      </c>
      <c r="H308" s="32"/>
      <c r="I308" s="32" t="s">
        <v>595</v>
      </c>
      <c r="J308" s="32">
        <v>20230505</v>
      </c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  <c r="AI308" s="14"/>
      <c r="AJ308" s="14"/>
      <c r="AK308" s="14"/>
      <c r="AL308" s="14"/>
      <c r="AM308" s="14"/>
      <c r="AN308" s="14"/>
      <c r="AO308" s="14"/>
    </row>
    <row r="309" spans="1:41" ht="20" customHeight="1" outlineLevel="1">
      <c r="A309" s="30" t="s">
        <v>609</v>
      </c>
      <c r="B309" s="30" t="s">
        <v>610</v>
      </c>
      <c r="C309" s="30"/>
      <c r="D309" s="32" t="s">
        <v>611</v>
      </c>
      <c r="E309" s="32" t="s">
        <v>612</v>
      </c>
      <c r="F309" s="33">
        <v>2E-3</v>
      </c>
      <c r="G309" s="13" t="s">
        <v>97</v>
      </c>
      <c r="H309" s="32"/>
      <c r="I309" s="32" t="s">
        <v>595</v>
      </c>
      <c r="J309" s="32">
        <v>20230505</v>
      </c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</row>
    <row r="310" spans="1:41" ht="20" customHeight="1" outlineLevel="1">
      <c r="A310" s="10"/>
      <c r="B310" s="13"/>
      <c r="C310" s="13"/>
      <c r="D310" s="13"/>
      <c r="E310" s="13"/>
      <c r="F310" s="16"/>
      <c r="G310" s="13"/>
      <c r="H310" s="13"/>
      <c r="I310" s="13"/>
      <c r="J310" s="13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  <c r="AI310" s="14"/>
      <c r="AJ310" s="14"/>
      <c r="AK310" s="14"/>
      <c r="AL310" s="14"/>
      <c r="AM310" s="14"/>
      <c r="AN310" s="14"/>
      <c r="AO310" s="14"/>
    </row>
    <row r="311" spans="1:41" ht="20" customHeight="1" outlineLevel="1">
      <c r="A311" s="10"/>
      <c r="B311" s="13"/>
      <c r="C311" s="13"/>
      <c r="D311" s="13"/>
      <c r="E311" s="13"/>
      <c r="F311" s="16"/>
      <c r="G311" s="13"/>
      <c r="H311" s="13"/>
      <c r="I311" s="13"/>
      <c r="J311" s="13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  <c r="AI311" s="14"/>
      <c r="AJ311" s="14"/>
      <c r="AK311" s="14"/>
      <c r="AL311" s="14"/>
      <c r="AM311" s="14"/>
      <c r="AN311" s="14"/>
      <c r="AO311" s="14"/>
    </row>
    <row r="312" spans="1:41" ht="20" customHeight="1" collapsed="1">
      <c r="A312" s="10" t="s">
        <v>613</v>
      </c>
      <c r="B312" s="13"/>
      <c r="C312" s="13"/>
      <c r="D312" s="13"/>
      <c r="E312" s="13"/>
      <c r="F312" s="16"/>
      <c r="G312" s="13"/>
      <c r="H312" s="13"/>
      <c r="I312" s="13"/>
      <c r="J312" s="13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  <c r="AI312" s="14"/>
      <c r="AJ312" s="14"/>
      <c r="AK312" s="14"/>
      <c r="AL312" s="14"/>
      <c r="AM312" s="14"/>
      <c r="AN312" s="14"/>
      <c r="AO312" s="14"/>
    </row>
    <row r="313" spans="1:41" ht="20" hidden="1" customHeight="1" outlineLevel="1">
      <c r="A313" s="10" t="s">
        <v>614</v>
      </c>
      <c r="B313" s="13" t="s">
        <v>615</v>
      </c>
      <c r="C313" s="13"/>
      <c r="D313" s="13" t="s">
        <v>616</v>
      </c>
      <c r="E313" s="13" t="s">
        <v>617</v>
      </c>
      <c r="F313" s="16">
        <v>5.9999999999999995E-4</v>
      </c>
      <c r="G313" s="13"/>
      <c r="H313" s="13" t="s">
        <v>618</v>
      </c>
      <c r="I313" s="13"/>
      <c r="J313" s="13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  <c r="AI313" s="14"/>
      <c r="AJ313" s="14"/>
      <c r="AK313" s="14"/>
      <c r="AL313" s="14"/>
      <c r="AM313" s="14"/>
      <c r="AN313" s="14"/>
      <c r="AO313" s="14"/>
    </row>
    <row r="314" spans="1:41" ht="20" hidden="1" customHeight="1" outlineLevel="1">
      <c r="A314" s="10" t="s">
        <v>614</v>
      </c>
      <c r="B314" s="13" t="s">
        <v>619</v>
      </c>
      <c r="C314" s="13"/>
      <c r="D314" s="13" t="s">
        <v>620</v>
      </c>
      <c r="E314" s="13" t="s">
        <v>617</v>
      </c>
      <c r="F314" s="16">
        <v>2.9999999999999997E-4</v>
      </c>
      <c r="G314" s="13"/>
      <c r="H314" s="13" t="s">
        <v>618</v>
      </c>
      <c r="I314" s="13"/>
      <c r="J314" s="13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  <c r="AI314" s="14"/>
      <c r="AJ314" s="14"/>
      <c r="AK314" s="14"/>
      <c r="AL314" s="14"/>
      <c r="AM314" s="14"/>
      <c r="AN314" s="14"/>
      <c r="AO314" s="14"/>
    </row>
    <row r="315" spans="1:41" ht="20" hidden="1" customHeight="1" outlineLevel="1">
      <c r="A315" s="10" t="s">
        <v>614</v>
      </c>
      <c r="B315" s="13" t="s">
        <v>621</v>
      </c>
      <c r="C315" s="13"/>
      <c r="D315" s="13" t="s">
        <v>622</v>
      </c>
      <c r="E315" s="13" t="s">
        <v>617</v>
      </c>
      <c r="F315" s="16">
        <v>1.1000000000000001E-3</v>
      </c>
      <c r="G315" s="13"/>
      <c r="H315" s="13" t="s">
        <v>618</v>
      </c>
      <c r="I315" s="13"/>
      <c r="J315" s="13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  <c r="AI315" s="14"/>
      <c r="AJ315" s="14"/>
      <c r="AK315" s="14"/>
      <c r="AL315" s="14"/>
      <c r="AM315" s="14"/>
      <c r="AN315" s="14"/>
      <c r="AO315" s="14"/>
    </row>
    <row r="316" spans="1:41" ht="20" hidden="1" customHeight="1" outlineLevel="1">
      <c r="A316" s="10" t="s">
        <v>614</v>
      </c>
      <c r="B316" s="13" t="s">
        <v>623</v>
      </c>
      <c r="C316" s="13"/>
      <c r="D316" s="13" t="s">
        <v>624</v>
      </c>
      <c r="E316" s="13" t="s">
        <v>617</v>
      </c>
      <c r="F316" s="16">
        <v>2E-3</v>
      </c>
      <c r="G316" s="13"/>
      <c r="H316" s="13" t="s">
        <v>618</v>
      </c>
      <c r="I316" s="13"/>
      <c r="J316" s="13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  <c r="AI316" s="14"/>
      <c r="AJ316" s="14"/>
      <c r="AK316" s="14"/>
      <c r="AL316" s="14"/>
      <c r="AM316" s="14"/>
      <c r="AN316" s="14"/>
      <c r="AO316" s="14"/>
    </row>
    <row r="317" spans="1:41" ht="20" hidden="1" customHeight="1" outlineLevel="1">
      <c r="A317" s="10" t="s">
        <v>614</v>
      </c>
      <c r="B317" s="13" t="s">
        <v>625</v>
      </c>
      <c r="C317" s="13"/>
      <c r="D317" s="13" t="s">
        <v>6</v>
      </c>
      <c r="E317" s="13" t="s">
        <v>617</v>
      </c>
      <c r="F317" s="16">
        <v>4.1999999999999997E-3</v>
      </c>
      <c r="G317" s="13"/>
      <c r="H317" s="13" t="s">
        <v>618</v>
      </c>
      <c r="I317" s="13"/>
      <c r="J317" s="13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  <c r="AI317" s="14"/>
      <c r="AJ317" s="14"/>
      <c r="AK317" s="14"/>
      <c r="AL317" s="14"/>
      <c r="AM317" s="14"/>
      <c r="AN317" s="14"/>
      <c r="AO317" s="14"/>
    </row>
    <row r="318" spans="1:41" ht="20" hidden="1" customHeight="1" outlineLevel="1">
      <c r="A318" s="10" t="s">
        <v>614</v>
      </c>
      <c r="B318" s="13" t="s">
        <v>626</v>
      </c>
      <c r="C318" s="13"/>
      <c r="D318" s="13" t="s">
        <v>627</v>
      </c>
      <c r="E318" s="13" t="s">
        <v>617</v>
      </c>
      <c r="F318" s="16">
        <v>9.4999999999999998E-3</v>
      </c>
      <c r="G318" s="13"/>
      <c r="H318" s="13" t="s">
        <v>628</v>
      </c>
      <c r="I318" s="13"/>
      <c r="J318" s="13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  <c r="AI318" s="14"/>
      <c r="AJ318" s="14"/>
      <c r="AK318" s="14"/>
      <c r="AL318" s="14"/>
      <c r="AM318" s="14"/>
      <c r="AN318" s="14"/>
      <c r="AO318" s="14"/>
    </row>
    <row r="319" spans="1:41" ht="20" hidden="1" customHeight="1" outlineLevel="1">
      <c r="A319" s="10" t="s">
        <v>614</v>
      </c>
      <c r="B319" s="13" t="s">
        <v>629</v>
      </c>
      <c r="C319" s="13"/>
      <c r="D319" s="13" t="s">
        <v>5</v>
      </c>
      <c r="E319" s="13" t="s">
        <v>617</v>
      </c>
      <c r="F319" s="16">
        <v>1.37E-2</v>
      </c>
      <c r="G319" s="13"/>
      <c r="H319" s="13" t="s">
        <v>628</v>
      </c>
      <c r="I319" s="13"/>
      <c r="J319" s="13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  <c r="AI319" s="14"/>
      <c r="AJ319" s="14"/>
      <c r="AK319" s="14"/>
      <c r="AL319" s="14"/>
      <c r="AM319" s="14"/>
      <c r="AN319" s="14"/>
      <c r="AO319" s="14"/>
    </row>
    <row r="320" spans="1:41" ht="20" hidden="1" customHeight="1" outlineLevel="1">
      <c r="A320" s="10" t="s">
        <v>614</v>
      </c>
      <c r="B320" s="13" t="s">
        <v>630</v>
      </c>
      <c r="C320" s="13"/>
      <c r="D320" s="13" t="s">
        <v>631</v>
      </c>
      <c r="E320" s="13" t="s">
        <v>617</v>
      </c>
      <c r="F320" s="16">
        <v>2.12E-2</v>
      </c>
      <c r="G320" s="13"/>
      <c r="H320" s="13" t="s">
        <v>628</v>
      </c>
      <c r="I320" s="13"/>
      <c r="J320" s="13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  <c r="AI320" s="14"/>
      <c r="AJ320" s="14"/>
      <c r="AK320" s="14"/>
      <c r="AL320" s="14"/>
      <c r="AM320" s="14"/>
      <c r="AN320" s="14"/>
      <c r="AO320" s="14"/>
    </row>
    <row r="321" spans="1:41" ht="20" hidden="1" customHeight="1" outlineLevel="1">
      <c r="A321" s="10" t="s">
        <v>614</v>
      </c>
      <c r="B321" s="13" t="s">
        <v>632</v>
      </c>
      <c r="C321" s="13"/>
      <c r="D321" s="13" t="s">
        <v>18</v>
      </c>
      <c r="E321" s="13" t="s">
        <v>617</v>
      </c>
      <c r="F321" s="16">
        <v>3.9600000000000003E-2</v>
      </c>
      <c r="G321" s="13"/>
      <c r="H321" s="13" t="s">
        <v>628</v>
      </c>
      <c r="I321" s="13"/>
      <c r="J321" s="13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  <c r="AI321" s="14"/>
      <c r="AJ321" s="14"/>
      <c r="AK321" s="14"/>
      <c r="AL321" s="14"/>
      <c r="AM321" s="14"/>
      <c r="AN321" s="14"/>
      <c r="AO321" s="14"/>
    </row>
    <row r="322" spans="1:41" ht="20" hidden="1" customHeight="1" outlineLevel="1">
      <c r="A322" s="10" t="s">
        <v>614</v>
      </c>
      <c r="B322" s="13" t="s">
        <v>633</v>
      </c>
      <c r="C322" s="13"/>
      <c r="D322" s="13" t="s">
        <v>634</v>
      </c>
      <c r="E322" s="13" t="s">
        <v>617</v>
      </c>
      <c r="F322" s="16">
        <v>5.4199999999999998E-2</v>
      </c>
      <c r="G322" s="13"/>
      <c r="H322" s="13" t="s">
        <v>628</v>
      </c>
      <c r="I322" s="13"/>
      <c r="J322" s="13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  <c r="AI322" s="14"/>
      <c r="AJ322" s="14"/>
      <c r="AK322" s="14"/>
      <c r="AL322" s="14"/>
      <c r="AM322" s="14"/>
      <c r="AN322" s="14"/>
      <c r="AO322" s="14"/>
    </row>
    <row r="323" spans="1:41" ht="20" hidden="1" customHeight="1" outlineLevel="1">
      <c r="A323" s="10" t="s">
        <v>614</v>
      </c>
      <c r="B323" s="13" t="s">
        <v>635</v>
      </c>
      <c r="C323" s="13"/>
      <c r="D323" s="13" t="s">
        <v>636</v>
      </c>
      <c r="E323" s="13" t="s">
        <v>617</v>
      </c>
      <c r="F323" s="16">
        <v>7.5200000000000003E-2</v>
      </c>
      <c r="G323" s="13"/>
      <c r="H323" s="13" t="s">
        <v>628</v>
      </c>
      <c r="I323" s="13"/>
      <c r="J323" s="13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  <c r="AI323" s="14"/>
      <c r="AJ323" s="14"/>
      <c r="AK323" s="14"/>
      <c r="AL323" s="14"/>
      <c r="AM323" s="14"/>
      <c r="AN323" s="14"/>
      <c r="AO323" s="14"/>
    </row>
    <row r="324" spans="1:41" ht="20" hidden="1" customHeight="1" outlineLevel="1">
      <c r="A324" s="10" t="s">
        <v>614</v>
      </c>
      <c r="B324" s="13" t="s">
        <v>637</v>
      </c>
      <c r="C324" s="13"/>
      <c r="D324" s="13" t="s">
        <v>638</v>
      </c>
      <c r="E324" s="13" t="s">
        <v>617</v>
      </c>
      <c r="F324" s="16">
        <v>0.1057</v>
      </c>
      <c r="G324" s="13"/>
      <c r="H324" s="13" t="s">
        <v>628</v>
      </c>
      <c r="I324" s="13"/>
      <c r="J324" s="13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  <c r="AI324" s="14"/>
      <c r="AJ324" s="14"/>
      <c r="AK324" s="14"/>
      <c r="AL324" s="14"/>
      <c r="AM324" s="14"/>
      <c r="AN324" s="14"/>
      <c r="AO324" s="14"/>
    </row>
    <row r="325" spans="1:41" ht="20" hidden="1" customHeight="1" outlineLevel="1">
      <c r="A325" s="10" t="s">
        <v>614</v>
      </c>
      <c r="B325" s="13" t="s">
        <v>639</v>
      </c>
      <c r="C325" s="13"/>
      <c r="D325" s="13" t="s">
        <v>640</v>
      </c>
      <c r="E325" s="13" t="s">
        <v>617</v>
      </c>
      <c r="F325" s="16">
        <v>0.1295</v>
      </c>
      <c r="G325" s="13"/>
      <c r="H325" s="13" t="s">
        <v>628</v>
      </c>
      <c r="I325" s="13"/>
      <c r="J325" s="13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  <c r="AI325" s="14"/>
      <c r="AJ325" s="14"/>
      <c r="AK325" s="14"/>
      <c r="AL325" s="14"/>
      <c r="AM325" s="14"/>
      <c r="AN325" s="14"/>
      <c r="AO325" s="14"/>
    </row>
    <row r="326" spans="1:41" s="17" customFormat="1" ht="20" hidden="1" customHeight="1" outlineLevel="1">
      <c r="A326" s="10" t="s">
        <v>614</v>
      </c>
      <c r="B326" s="13" t="s">
        <v>641</v>
      </c>
      <c r="C326" s="13"/>
      <c r="D326" s="13" t="s">
        <v>642</v>
      </c>
      <c r="E326" s="13" t="s">
        <v>643</v>
      </c>
      <c r="F326" s="16">
        <v>0.01</v>
      </c>
      <c r="G326" s="13"/>
      <c r="H326" s="13" t="s">
        <v>628</v>
      </c>
      <c r="I326" s="13"/>
      <c r="J326" s="13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  <c r="AI326" s="14"/>
      <c r="AJ326" s="14"/>
      <c r="AK326" s="14"/>
      <c r="AL326" s="14"/>
      <c r="AM326" s="14"/>
      <c r="AN326" s="14"/>
      <c r="AO326" s="14"/>
    </row>
    <row r="327" spans="1:41" ht="20" hidden="1" customHeight="1" outlineLevel="1">
      <c r="A327" s="10" t="s">
        <v>614</v>
      </c>
      <c r="B327" s="13" t="s">
        <v>644</v>
      </c>
      <c r="C327" s="13"/>
      <c r="D327" s="13" t="s">
        <v>645</v>
      </c>
      <c r="E327" s="13" t="s">
        <v>643</v>
      </c>
      <c r="F327" s="16">
        <v>2.3E-2</v>
      </c>
      <c r="G327" s="13"/>
      <c r="H327" s="13" t="s">
        <v>628</v>
      </c>
      <c r="I327" s="13"/>
      <c r="J327" s="13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  <c r="AI327" s="14"/>
      <c r="AJ327" s="14"/>
      <c r="AK327" s="14"/>
      <c r="AL327" s="14"/>
      <c r="AM327" s="14"/>
      <c r="AN327" s="14"/>
      <c r="AO327" s="14"/>
    </row>
    <row r="328" spans="1:41" ht="20" hidden="1" customHeight="1" outlineLevel="1">
      <c r="A328" s="10" t="s">
        <v>614</v>
      </c>
      <c r="B328" s="13" t="s">
        <v>646</v>
      </c>
      <c r="C328" s="13"/>
      <c r="D328" s="13" t="s">
        <v>647</v>
      </c>
      <c r="E328" s="13" t="s">
        <v>648</v>
      </c>
      <c r="F328" s="16">
        <v>5.3E-3</v>
      </c>
      <c r="G328" s="13" t="s">
        <v>97</v>
      </c>
      <c r="H328" s="13"/>
      <c r="I328" s="13"/>
      <c r="J328" s="13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  <c r="AI328" s="14"/>
      <c r="AJ328" s="14"/>
      <c r="AK328" s="14"/>
      <c r="AL328" s="14"/>
      <c r="AM328" s="14"/>
      <c r="AN328" s="14"/>
      <c r="AO328" s="14"/>
    </row>
    <row r="329" spans="1:41" ht="20" hidden="1" customHeight="1" outlineLevel="1">
      <c r="A329" s="10" t="s">
        <v>614</v>
      </c>
      <c r="B329" s="13" t="s">
        <v>649</v>
      </c>
      <c r="C329" s="13"/>
      <c r="D329" s="13" t="s">
        <v>650</v>
      </c>
      <c r="E329" s="13" t="s">
        <v>651</v>
      </c>
      <c r="F329" s="16">
        <v>1E-3</v>
      </c>
      <c r="G329" s="13" t="s">
        <v>97</v>
      </c>
      <c r="H329" s="13"/>
      <c r="I329" s="32" t="s">
        <v>595</v>
      </c>
      <c r="J329" s="32">
        <v>20230505</v>
      </c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</row>
    <row r="330" spans="1:41" ht="20" hidden="1" customHeight="1" outlineLevel="1">
      <c r="A330" s="10" t="s">
        <v>614</v>
      </c>
      <c r="B330" s="13" t="s">
        <v>652</v>
      </c>
      <c r="C330" s="13"/>
      <c r="D330" s="13" t="s">
        <v>620</v>
      </c>
      <c r="E330" s="13" t="s">
        <v>653</v>
      </c>
      <c r="F330" s="16">
        <v>2.9999999999999997E-4</v>
      </c>
      <c r="G330" s="13" t="s">
        <v>97</v>
      </c>
      <c r="H330" s="13"/>
      <c r="I330" s="13"/>
      <c r="J330" s="13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  <c r="AI330" s="14"/>
      <c r="AJ330" s="14"/>
      <c r="AK330" s="14"/>
      <c r="AL330" s="14"/>
      <c r="AM330" s="14"/>
      <c r="AN330" s="14"/>
      <c r="AO330" s="14"/>
    </row>
    <row r="331" spans="1:41" ht="20" hidden="1" customHeight="1" outlineLevel="1">
      <c r="A331" s="10" t="s">
        <v>614</v>
      </c>
      <c r="B331" s="13" t="s">
        <v>654</v>
      </c>
      <c r="C331" s="13"/>
      <c r="D331" s="13" t="s">
        <v>616</v>
      </c>
      <c r="E331" s="13" t="s">
        <v>653</v>
      </c>
      <c r="F331" s="16">
        <v>5.9999999999999995E-4</v>
      </c>
      <c r="G331" s="13" t="s">
        <v>97</v>
      </c>
      <c r="H331" s="13"/>
      <c r="I331" s="13"/>
      <c r="J331" s="13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  <c r="AI331" s="14"/>
      <c r="AJ331" s="14"/>
      <c r="AK331" s="14"/>
      <c r="AL331" s="14"/>
      <c r="AM331" s="14"/>
      <c r="AN331" s="14"/>
      <c r="AO331" s="14"/>
    </row>
    <row r="332" spans="1:41" ht="20" hidden="1" customHeight="1" outlineLevel="1">
      <c r="A332" s="10" t="s">
        <v>614</v>
      </c>
      <c r="B332" s="13" t="s">
        <v>655</v>
      </c>
      <c r="C332" s="13"/>
      <c r="D332" s="13" t="s">
        <v>622</v>
      </c>
      <c r="E332" s="13" t="s">
        <v>653</v>
      </c>
      <c r="F332" s="16">
        <v>1.1000000000000001E-3</v>
      </c>
      <c r="G332" s="13" t="s">
        <v>97</v>
      </c>
      <c r="H332" s="13"/>
      <c r="I332" s="13"/>
      <c r="J332" s="13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  <c r="AI332" s="14"/>
      <c r="AJ332" s="14"/>
      <c r="AK332" s="14"/>
      <c r="AL332" s="14"/>
      <c r="AM332" s="14"/>
      <c r="AN332" s="14"/>
      <c r="AO332" s="14"/>
    </row>
    <row r="333" spans="1:41" ht="20" hidden="1" customHeight="1" outlineLevel="1">
      <c r="A333" s="10" t="s">
        <v>614</v>
      </c>
      <c r="B333" s="13" t="s">
        <v>656</v>
      </c>
      <c r="C333" s="13"/>
      <c r="D333" s="13" t="s">
        <v>624</v>
      </c>
      <c r="E333" s="13" t="s">
        <v>653</v>
      </c>
      <c r="F333" s="16">
        <v>2E-3</v>
      </c>
      <c r="G333" s="13" t="s">
        <v>97</v>
      </c>
      <c r="H333" s="13"/>
      <c r="I333" s="13"/>
      <c r="J333" s="13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</row>
    <row r="334" spans="1:41" ht="20" hidden="1" customHeight="1" outlineLevel="1">
      <c r="A334" s="10" t="s">
        <v>614</v>
      </c>
      <c r="B334" s="13" t="s">
        <v>657</v>
      </c>
      <c r="C334" s="13"/>
      <c r="D334" s="13" t="s">
        <v>6</v>
      </c>
      <c r="E334" s="13" t="s">
        <v>653</v>
      </c>
      <c r="F334" s="16">
        <v>4.3E-3</v>
      </c>
      <c r="G334" s="13" t="s">
        <v>97</v>
      </c>
      <c r="H334" s="13"/>
      <c r="I334" s="13"/>
      <c r="J334" s="13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  <c r="AI334" s="14"/>
      <c r="AJ334" s="14"/>
      <c r="AK334" s="14"/>
      <c r="AL334" s="14"/>
      <c r="AM334" s="14"/>
      <c r="AN334" s="14"/>
      <c r="AO334" s="14"/>
    </row>
    <row r="335" spans="1:41" ht="20" hidden="1" customHeight="1" outlineLevel="1">
      <c r="A335" s="10" t="s">
        <v>614</v>
      </c>
      <c r="B335" s="13" t="s">
        <v>658</v>
      </c>
      <c r="C335" s="13"/>
      <c r="D335" s="13" t="s">
        <v>627</v>
      </c>
      <c r="E335" s="13" t="s">
        <v>653</v>
      </c>
      <c r="F335" s="16">
        <v>9.5999999999999992E-3</v>
      </c>
      <c r="G335" s="13" t="s">
        <v>97</v>
      </c>
      <c r="H335" s="13"/>
      <c r="I335" s="13"/>
      <c r="J335" s="13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  <c r="AI335" s="14"/>
      <c r="AJ335" s="14"/>
      <c r="AK335" s="14"/>
      <c r="AL335" s="14"/>
      <c r="AM335" s="14"/>
      <c r="AN335" s="14"/>
      <c r="AO335" s="14"/>
    </row>
    <row r="336" spans="1:41" ht="20" hidden="1" customHeight="1" outlineLevel="1">
      <c r="A336" s="10" t="s">
        <v>614</v>
      </c>
      <c r="B336" s="13" t="s">
        <v>659</v>
      </c>
      <c r="C336" s="13"/>
      <c r="D336" s="13" t="s">
        <v>5</v>
      </c>
      <c r="E336" s="13" t="s">
        <v>653</v>
      </c>
      <c r="F336" s="16">
        <v>1.38E-2</v>
      </c>
      <c r="G336" s="13" t="s">
        <v>97</v>
      </c>
      <c r="H336" s="13"/>
      <c r="I336" s="13"/>
      <c r="J336" s="13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</row>
    <row r="337" spans="1:41" ht="20" hidden="1" customHeight="1" outlineLevel="1">
      <c r="A337" s="10"/>
      <c r="B337" s="13"/>
      <c r="C337" s="13"/>
      <c r="D337" s="13"/>
      <c r="E337" s="13"/>
      <c r="F337" s="16"/>
      <c r="G337" s="13"/>
      <c r="H337" s="13"/>
      <c r="I337" s="13"/>
      <c r="J337" s="13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  <c r="AI337" s="14"/>
      <c r="AJ337" s="14"/>
      <c r="AK337" s="14"/>
      <c r="AL337" s="14"/>
      <c r="AM337" s="14"/>
      <c r="AN337" s="14"/>
      <c r="AO337" s="14"/>
    </row>
    <row r="338" spans="1:41" ht="20" hidden="1" customHeight="1" outlineLevel="1">
      <c r="A338" s="10"/>
      <c r="B338" s="13"/>
      <c r="C338" s="13"/>
      <c r="D338" s="13"/>
      <c r="E338" s="13"/>
      <c r="F338" s="16"/>
      <c r="G338" s="13"/>
      <c r="H338" s="13"/>
      <c r="I338" s="13"/>
      <c r="J338" s="13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  <c r="AI338" s="14"/>
      <c r="AJ338" s="14"/>
      <c r="AK338" s="14"/>
      <c r="AL338" s="14"/>
      <c r="AM338" s="14"/>
      <c r="AN338" s="14"/>
      <c r="AO338" s="14"/>
    </row>
    <row r="339" spans="1:41" ht="20" hidden="1" customHeight="1" outlineLevel="1">
      <c r="A339" s="10"/>
      <c r="B339" s="13"/>
      <c r="C339" s="13"/>
      <c r="D339" s="13"/>
      <c r="E339" s="13"/>
      <c r="F339" s="16"/>
      <c r="G339" s="13"/>
      <c r="H339" s="13"/>
      <c r="I339" s="13"/>
      <c r="J339" s="13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  <c r="AI339" s="14"/>
      <c r="AJ339" s="14"/>
      <c r="AK339" s="14"/>
      <c r="AL339" s="14"/>
      <c r="AM339" s="14"/>
      <c r="AN339" s="14"/>
      <c r="AO339" s="14"/>
    </row>
    <row r="340" spans="1:41" ht="20" customHeight="1" collapsed="1">
      <c r="A340" s="10" t="s">
        <v>660</v>
      </c>
      <c r="B340" s="13"/>
      <c r="C340" s="13"/>
      <c r="D340" s="13"/>
      <c r="E340" s="13"/>
      <c r="F340" s="16"/>
      <c r="G340" s="13"/>
      <c r="H340" s="13"/>
      <c r="I340" s="13"/>
      <c r="J340" s="13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  <c r="AI340" s="14"/>
      <c r="AJ340" s="14"/>
      <c r="AK340" s="14"/>
      <c r="AL340" s="14"/>
      <c r="AM340" s="14"/>
      <c r="AN340" s="14"/>
      <c r="AO340" s="14"/>
    </row>
    <row r="341" spans="1:41" ht="20" hidden="1" customHeight="1" outlineLevel="1">
      <c r="A341" s="10" t="s">
        <v>661</v>
      </c>
      <c r="B341" s="13" t="s">
        <v>662</v>
      </c>
      <c r="C341" s="13"/>
      <c r="D341" s="13" t="s">
        <v>663</v>
      </c>
      <c r="E341" s="13" t="s">
        <v>25</v>
      </c>
      <c r="F341" s="16">
        <v>1.5E-3</v>
      </c>
      <c r="G341" s="13" t="s">
        <v>97</v>
      </c>
      <c r="H341" s="13"/>
      <c r="I341" s="13"/>
      <c r="J341" s="13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  <c r="AI341" s="14"/>
      <c r="AJ341" s="14"/>
      <c r="AK341" s="14"/>
      <c r="AL341" s="14"/>
      <c r="AM341" s="14"/>
      <c r="AN341" s="14"/>
      <c r="AO341" s="14"/>
    </row>
    <row r="342" spans="1:41" ht="20" hidden="1" customHeight="1" outlineLevel="1">
      <c r="A342" s="10" t="s">
        <v>661</v>
      </c>
      <c r="B342" s="13" t="s">
        <v>664</v>
      </c>
      <c r="C342" s="13"/>
      <c r="D342" s="13" t="s">
        <v>665</v>
      </c>
      <c r="E342" s="13" t="s">
        <v>25</v>
      </c>
      <c r="F342" s="16">
        <v>1.6999999999999999E-3</v>
      </c>
      <c r="G342" s="13" t="s">
        <v>97</v>
      </c>
      <c r="H342" s="13"/>
      <c r="I342" s="13"/>
      <c r="J342" s="13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  <c r="AI342" s="14"/>
      <c r="AJ342" s="14"/>
      <c r="AK342" s="14"/>
      <c r="AL342" s="14"/>
      <c r="AM342" s="14"/>
      <c r="AN342" s="14"/>
      <c r="AO342" s="14"/>
    </row>
    <row r="343" spans="1:41" ht="20" hidden="1" customHeight="1" outlineLevel="1">
      <c r="A343" s="10" t="s">
        <v>661</v>
      </c>
      <c r="B343" s="13" t="s">
        <v>666</v>
      </c>
      <c r="C343" s="13"/>
      <c r="D343" s="13" t="s">
        <v>667</v>
      </c>
      <c r="E343" s="13" t="s">
        <v>25</v>
      </c>
      <c r="F343" s="16">
        <v>1.9E-3</v>
      </c>
      <c r="G343" s="13" t="s">
        <v>97</v>
      </c>
      <c r="H343" s="13"/>
      <c r="I343" s="13"/>
      <c r="J343" s="13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  <c r="AI343" s="14"/>
      <c r="AJ343" s="14"/>
      <c r="AK343" s="14"/>
      <c r="AL343" s="14"/>
      <c r="AM343" s="14"/>
      <c r="AN343" s="14"/>
      <c r="AO343" s="14"/>
    </row>
    <row r="344" spans="1:41" ht="20" hidden="1" customHeight="1" outlineLevel="1">
      <c r="A344" s="10" t="s">
        <v>661</v>
      </c>
      <c r="B344" s="13" t="s">
        <v>668</v>
      </c>
      <c r="C344" s="13"/>
      <c r="D344" s="13" t="s">
        <v>669</v>
      </c>
      <c r="E344" s="13" t="s">
        <v>25</v>
      </c>
      <c r="F344" s="16">
        <v>2.0999999999999999E-3</v>
      </c>
      <c r="G344" s="13" t="s">
        <v>97</v>
      </c>
      <c r="H344" s="13"/>
      <c r="I344" s="13"/>
      <c r="J344" s="13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  <c r="AI344" s="14"/>
      <c r="AJ344" s="14"/>
      <c r="AK344" s="14"/>
      <c r="AL344" s="14"/>
      <c r="AM344" s="14"/>
      <c r="AN344" s="14"/>
      <c r="AO344" s="14"/>
    </row>
    <row r="345" spans="1:41" ht="20" hidden="1" customHeight="1" outlineLevel="1">
      <c r="A345" s="10" t="s">
        <v>661</v>
      </c>
      <c r="B345" s="13" t="s">
        <v>670</v>
      </c>
      <c r="C345" s="13"/>
      <c r="D345" s="13" t="s">
        <v>671</v>
      </c>
      <c r="E345" s="13" t="s">
        <v>25</v>
      </c>
      <c r="F345" s="16">
        <v>2.3E-3</v>
      </c>
      <c r="G345" s="13" t="s">
        <v>97</v>
      </c>
      <c r="H345" s="13"/>
      <c r="I345" s="13"/>
      <c r="J345" s="13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  <c r="AI345" s="14"/>
      <c r="AJ345" s="14"/>
      <c r="AK345" s="14"/>
      <c r="AL345" s="14"/>
      <c r="AM345" s="14"/>
      <c r="AN345" s="14"/>
      <c r="AO345" s="14"/>
    </row>
    <row r="346" spans="1:41" ht="20" hidden="1" customHeight="1" outlineLevel="1">
      <c r="A346" s="10" t="s">
        <v>661</v>
      </c>
      <c r="B346" s="13" t="s">
        <v>672</v>
      </c>
      <c r="C346" s="13"/>
      <c r="D346" s="13" t="s">
        <v>673</v>
      </c>
      <c r="E346" s="13" t="s">
        <v>25</v>
      </c>
      <c r="F346" s="16">
        <v>2.5999999999999999E-3</v>
      </c>
      <c r="G346" s="13" t="s">
        <v>97</v>
      </c>
      <c r="H346" s="13"/>
      <c r="I346" s="13"/>
      <c r="J346" s="13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  <c r="AI346" s="14"/>
      <c r="AJ346" s="14"/>
      <c r="AK346" s="14"/>
      <c r="AL346" s="14"/>
      <c r="AM346" s="14"/>
      <c r="AN346" s="14"/>
      <c r="AO346" s="14"/>
    </row>
    <row r="347" spans="1:41" ht="20" hidden="1" customHeight="1" outlineLevel="1">
      <c r="A347" s="10" t="s">
        <v>661</v>
      </c>
      <c r="B347" s="13" t="s">
        <v>674</v>
      </c>
      <c r="C347" s="13"/>
      <c r="D347" s="13" t="s">
        <v>675</v>
      </c>
      <c r="E347" s="13" t="s">
        <v>25</v>
      </c>
      <c r="F347" s="16">
        <v>2.8E-3</v>
      </c>
      <c r="G347" s="13" t="s">
        <v>97</v>
      </c>
      <c r="H347" s="13"/>
      <c r="I347" s="13"/>
      <c r="J347" s="13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  <c r="AI347" s="14"/>
      <c r="AJ347" s="14"/>
      <c r="AK347" s="14"/>
      <c r="AL347" s="14"/>
      <c r="AM347" s="14"/>
      <c r="AN347" s="14"/>
      <c r="AO347" s="14"/>
    </row>
    <row r="348" spans="1:41" ht="20" hidden="1" customHeight="1" outlineLevel="1">
      <c r="A348" s="10" t="s">
        <v>661</v>
      </c>
      <c r="B348" s="13" t="s">
        <v>676</v>
      </c>
      <c r="C348" s="13"/>
      <c r="D348" s="13" t="s">
        <v>677</v>
      </c>
      <c r="E348" s="13" t="s">
        <v>25</v>
      </c>
      <c r="F348" s="16">
        <v>2.5000000000000001E-3</v>
      </c>
      <c r="G348" s="13" t="s">
        <v>97</v>
      </c>
      <c r="H348" s="13"/>
      <c r="I348" s="13"/>
      <c r="J348" s="13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  <c r="AI348" s="14"/>
      <c r="AJ348" s="14"/>
      <c r="AK348" s="14"/>
      <c r="AL348" s="14"/>
      <c r="AM348" s="14"/>
      <c r="AN348" s="14"/>
      <c r="AO348" s="14"/>
    </row>
    <row r="349" spans="1:41" ht="20" hidden="1" customHeight="1" outlineLevel="1">
      <c r="A349" s="10" t="s">
        <v>661</v>
      </c>
      <c r="B349" s="13" t="s">
        <v>678</v>
      </c>
      <c r="C349" s="13"/>
      <c r="D349" s="13" t="s">
        <v>679</v>
      </c>
      <c r="E349" s="13" t="s">
        <v>25</v>
      </c>
      <c r="F349" s="16">
        <v>2.8E-3</v>
      </c>
      <c r="G349" s="13" t="s">
        <v>97</v>
      </c>
      <c r="H349" s="13"/>
      <c r="I349" s="13"/>
      <c r="J349" s="13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  <c r="AI349" s="14"/>
      <c r="AJ349" s="14"/>
      <c r="AK349" s="14"/>
      <c r="AL349" s="14"/>
      <c r="AM349" s="14"/>
      <c r="AN349" s="14"/>
      <c r="AO349" s="14"/>
    </row>
    <row r="350" spans="1:41" ht="20" hidden="1" customHeight="1" outlineLevel="1">
      <c r="A350" s="10" t="s">
        <v>661</v>
      </c>
      <c r="B350" s="13" t="s">
        <v>680</v>
      </c>
      <c r="C350" s="13"/>
      <c r="D350" s="13" t="s">
        <v>681</v>
      </c>
      <c r="E350" s="13" t="s">
        <v>25</v>
      </c>
      <c r="F350" s="16">
        <v>3.0999999999999999E-3</v>
      </c>
      <c r="G350" s="13" t="s">
        <v>97</v>
      </c>
      <c r="H350" s="13"/>
      <c r="I350" s="13"/>
      <c r="J350" s="13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  <c r="AI350" s="14"/>
      <c r="AJ350" s="14"/>
      <c r="AK350" s="14"/>
      <c r="AL350" s="14"/>
      <c r="AM350" s="14"/>
      <c r="AN350" s="14"/>
      <c r="AO350" s="14"/>
    </row>
    <row r="351" spans="1:41" ht="20" hidden="1" customHeight="1" outlineLevel="1">
      <c r="A351" s="10" t="s">
        <v>661</v>
      </c>
      <c r="B351" s="13" t="s">
        <v>682</v>
      </c>
      <c r="C351" s="13"/>
      <c r="D351" s="13" t="s">
        <v>683</v>
      </c>
      <c r="E351" s="13" t="s">
        <v>25</v>
      </c>
      <c r="F351" s="16">
        <v>3.3999999999999998E-3</v>
      </c>
      <c r="G351" s="13" t="s">
        <v>97</v>
      </c>
      <c r="H351" s="13"/>
      <c r="I351" s="13"/>
      <c r="J351" s="13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  <c r="AI351" s="14"/>
      <c r="AJ351" s="14"/>
      <c r="AK351" s="14"/>
      <c r="AL351" s="14"/>
      <c r="AM351" s="14"/>
      <c r="AN351" s="14"/>
      <c r="AO351" s="14"/>
    </row>
    <row r="352" spans="1:41" ht="20" hidden="1" customHeight="1" outlineLevel="1">
      <c r="A352" s="10" t="s">
        <v>661</v>
      </c>
      <c r="B352" s="13" t="s">
        <v>684</v>
      </c>
      <c r="C352" s="13"/>
      <c r="D352" s="13" t="s">
        <v>685</v>
      </c>
      <c r="E352" s="13" t="s">
        <v>25</v>
      </c>
      <c r="F352" s="16">
        <v>3.8E-3</v>
      </c>
      <c r="G352" s="13" t="s">
        <v>97</v>
      </c>
      <c r="H352" s="13"/>
      <c r="I352" s="13"/>
      <c r="J352" s="13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  <c r="AI352" s="14"/>
      <c r="AJ352" s="14"/>
      <c r="AK352" s="14"/>
      <c r="AL352" s="14"/>
      <c r="AM352" s="14"/>
      <c r="AN352" s="14"/>
      <c r="AO352" s="14"/>
    </row>
    <row r="353" spans="1:41" ht="20" hidden="1" customHeight="1" outlineLevel="1">
      <c r="A353" s="10" t="s">
        <v>661</v>
      </c>
      <c r="B353" s="13" t="s">
        <v>686</v>
      </c>
      <c r="C353" s="13"/>
      <c r="D353" s="13" t="s">
        <v>687</v>
      </c>
      <c r="E353" s="13" t="s">
        <v>25</v>
      </c>
      <c r="F353" s="16">
        <v>4.1000000000000003E-3</v>
      </c>
      <c r="G353" s="13" t="s">
        <v>97</v>
      </c>
      <c r="H353" s="13"/>
      <c r="I353" s="13"/>
      <c r="J353" s="13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  <c r="AI353" s="14"/>
      <c r="AJ353" s="14"/>
      <c r="AK353" s="14"/>
      <c r="AL353" s="14"/>
      <c r="AM353" s="14"/>
      <c r="AN353" s="14"/>
      <c r="AO353" s="14"/>
    </row>
    <row r="354" spans="1:41" ht="20" hidden="1" customHeight="1" outlineLevel="1">
      <c r="A354" s="10" t="s">
        <v>661</v>
      </c>
      <c r="B354" s="13" t="s">
        <v>688</v>
      </c>
      <c r="C354" s="13"/>
      <c r="D354" s="13" t="s">
        <v>689</v>
      </c>
      <c r="E354" s="13" t="s">
        <v>25</v>
      </c>
      <c r="F354" s="16">
        <v>4.4000000000000003E-3</v>
      </c>
      <c r="G354" s="13" t="s">
        <v>97</v>
      </c>
      <c r="H354" s="13"/>
      <c r="I354" s="13"/>
      <c r="J354" s="13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  <c r="AI354" s="14"/>
      <c r="AJ354" s="14"/>
      <c r="AK354" s="14"/>
      <c r="AL354" s="14"/>
      <c r="AM354" s="14"/>
      <c r="AN354" s="14"/>
      <c r="AO354" s="14"/>
    </row>
    <row r="355" spans="1:41" ht="20" hidden="1" customHeight="1" outlineLevel="1">
      <c r="A355" s="10" t="s">
        <v>661</v>
      </c>
      <c r="B355" s="13" t="s">
        <v>690</v>
      </c>
      <c r="C355" s="13"/>
      <c r="D355" s="13" t="s">
        <v>691</v>
      </c>
      <c r="E355" s="13" t="s">
        <v>25</v>
      </c>
      <c r="F355" s="16">
        <v>3.0000000000000001E-3</v>
      </c>
      <c r="G355" s="13" t="s">
        <v>97</v>
      </c>
      <c r="H355" s="13"/>
      <c r="I355" s="13"/>
      <c r="J355" s="13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  <c r="AI355" s="14"/>
      <c r="AJ355" s="14"/>
      <c r="AK355" s="14"/>
      <c r="AL355" s="14"/>
      <c r="AM355" s="14"/>
      <c r="AN355" s="14"/>
      <c r="AO355" s="14"/>
    </row>
    <row r="356" spans="1:41" ht="20" hidden="1" customHeight="1" outlineLevel="1">
      <c r="A356" s="10" t="s">
        <v>661</v>
      </c>
      <c r="B356" s="13" t="s">
        <v>692</v>
      </c>
      <c r="C356" s="13"/>
      <c r="D356" s="13" t="s">
        <v>693</v>
      </c>
      <c r="E356" s="13" t="s">
        <v>25</v>
      </c>
      <c r="F356" s="16">
        <v>4.1999999999999997E-3</v>
      </c>
      <c r="G356" s="13" t="s">
        <v>97</v>
      </c>
      <c r="H356" s="13"/>
      <c r="I356" s="13"/>
      <c r="J356" s="13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  <c r="AI356" s="14"/>
      <c r="AJ356" s="14"/>
      <c r="AK356" s="14"/>
      <c r="AL356" s="14"/>
      <c r="AM356" s="14"/>
      <c r="AN356" s="14"/>
      <c r="AO356" s="14"/>
    </row>
    <row r="357" spans="1:41" ht="20" hidden="1" customHeight="1" outlineLevel="1">
      <c r="A357" s="10" t="s">
        <v>661</v>
      </c>
      <c r="B357" s="13" t="s">
        <v>694</v>
      </c>
      <c r="C357" s="13"/>
      <c r="D357" s="13" t="s">
        <v>695</v>
      </c>
      <c r="E357" s="13" t="s">
        <v>25</v>
      </c>
      <c r="F357" s="16">
        <v>4.7000000000000002E-3</v>
      </c>
      <c r="G357" s="13" t="s">
        <v>97</v>
      </c>
      <c r="H357" s="13"/>
      <c r="I357" s="13"/>
      <c r="J357" s="13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  <c r="AI357" s="14"/>
      <c r="AJ357" s="14"/>
      <c r="AK357" s="14"/>
      <c r="AL357" s="14"/>
      <c r="AM357" s="14"/>
      <c r="AN357" s="14"/>
      <c r="AO357" s="14"/>
    </row>
    <row r="358" spans="1:41" ht="20" hidden="1" customHeight="1" outlineLevel="1">
      <c r="A358" s="10" t="s">
        <v>661</v>
      </c>
      <c r="B358" s="13" t="s">
        <v>696</v>
      </c>
      <c r="C358" s="13"/>
      <c r="D358" s="13" t="s">
        <v>697</v>
      </c>
      <c r="E358" s="13" t="s">
        <v>25</v>
      </c>
      <c r="F358" s="16">
        <v>5.1999999999999998E-3</v>
      </c>
      <c r="G358" s="13" t="s">
        <v>97</v>
      </c>
      <c r="H358" s="13"/>
      <c r="I358" s="13"/>
      <c r="J358" s="13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  <c r="AI358" s="14"/>
      <c r="AJ358" s="14"/>
      <c r="AK358" s="14"/>
      <c r="AL358" s="14"/>
      <c r="AM358" s="14"/>
      <c r="AN358" s="14"/>
      <c r="AO358" s="14"/>
    </row>
    <row r="359" spans="1:41" ht="20" hidden="1" customHeight="1" outlineLevel="1">
      <c r="A359" s="10" t="s">
        <v>661</v>
      </c>
      <c r="B359" s="13" t="s">
        <v>698</v>
      </c>
      <c r="C359" s="13"/>
      <c r="D359" s="13" t="s">
        <v>699</v>
      </c>
      <c r="E359" s="13" t="s">
        <v>25</v>
      </c>
      <c r="F359" s="16">
        <v>5.7000000000000002E-3</v>
      </c>
      <c r="G359" s="13" t="s">
        <v>97</v>
      </c>
      <c r="H359" s="13"/>
      <c r="I359" s="13"/>
      <c r="J359" s="13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  <c r="AI359" s="14"/>
      <c r="AJ359" s="14"/>
      <c r="AK359" s="14"/>
      <c r="AL359" s="14"/>
      <c r="AM359" s="14"/>
      <c r="AN359" s="14"/>
      <c r="AO359" s="14"/>
    </row>
    <row r="360" spans="1:41" ht="20" hidden="1" customHeight="1" outlineLevel="1">
      <c r="A360" s="10" t="s">
        <v>661</v>
      </c>
      <c r="B360" s="13" t="s">
        <v>700</v>
      </c>
      <c r="C360" s="13"/>
      <c r="D360" s="13" t="s">
        <v>701</v>
      </c>
      <c r="E360" s="13" t="s">
        <v>25</v>
      </c>
      <c r="F360" s="16">
        <v>6.1999999999999998E-3</v>
      </c>
      <c r="G360" s="13" t="s">
        <v>97</v>
      </c>
      <c r="H360" s="13"/>
      <c r="I360" s="13"/>
      <c r="J360" s="13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  <c r="AI360" s="14"/>
      <c r="AJ360" s="14"/>
      <c r="AK360" s="14"/>
      <c r="AL360" s="14"/>
      <c r="AM360" s="14"/>
      <c r="AN360" s="14"/>
      <c r="AO360" s="14"/>
    </row>
    <row r="361" spans="1:41" ht="20" hidden="1" customHeight="1" outlineLevel="1">
      <c r="A361" s="10" t="s">
        <v>661</v>
      </c>
      <c r="B361" s="13" t="s">
        <v>702</v>
      </c>
      <c r="C361" s="13"/>
      <c r="D361" s="13" t="s">
        <v>703</v>
      </c>
      <c r="E361" s="13" t="s">
        <v>25</v>
      </c>
      <c r="F361" s="16">
        <v>6.7000000000000002E-3</v>
      </c>
      <c r="G361" s="13" t="s">
        <v>97</v>
      </c>
      <c r="H361" s="13"/>
      <c r="I361" s="13"/>
      <c r="J361" s="13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  <c r="AI361" s="14"/>
      <c r="AJ361" s="14"/>
      <c r="AK361" s="14"/>
      <c r="AL361" s="14"/>
      <c r="AM361" s="14"/>
      <c r="AN361" s="14"/>
      <c r="AO361" s="14"/>
    </row>
    <row r="362" spans="1:41" ht="20" hidden="1" customHeight="1" outlineLevel="1">
      <c r="A362" s="10" t="s">
        <v>661</v>
      </c>
      <c r="B362" s="13" t="s">
        <v>704</v>
      </c>
      <c r="C362" s="13"/>
      <c r="D362" s="13" t="s">
        <v>705</v>
      </c>
      <c r="E362" s="13" t="s">
        <v>25</v>
      </c>
      <c r="F362" s="16">
        <v>7.1999999999999998E-3</v>
      </c>
      <c r="G362" s="13" t="s">
        <v>97</v>
      </c>
      <c r="H362" s="13"/>
      <c r="I362" s="13"/>
      <c r="J362" s="13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  <c r="AI362" s="14"/>
      <c r="AJ362" s="14"/>
      <c r="AK362" s="14"/>
      <c r="AL362" s="14"/>
      <c r="AM362" s="14"/>
      <c r="AN362" s="14"/>
      <c r="AO362" s="14"/>
    </row>
    <row r="363" spans="1:41" ht="20" hidden="1" customHeight="1" outlineLevel="1">
      <c r="A363" s="10" t="s">
        <v>661</v>
      </c>
      <c r="B363" s="13" t="s">
        <v>706</v>
      </c>
      <c r="C363" s="13"/>
      <c r="D363" s="13" t="s">
        <v>26</v>
      </c>
      <c r="E363" s="13" t="s">
        <v>25</v>
      </c>
      <c r="F363" s="34">
        <v>0.01</v>
      </c>
      <c r="G363" s="13" t="s">
        <v>97</v>
      </c>
      <c r="H363" s="13"/>
      <c r="I363" s="13"/>
      <c r="J363" s="13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  <c r="AI363" s="14"/>
      <c r="AJ363" s="14"/>
      <c r="AK363" s="14"/>
      <c r="AL363" s="14"/>
      <c r="AM363" s="14"/>
      <c r="AN363" s="14"/>
      <c r="AO363" s="14"/>
    </row>
    <row r="364" spans="1:41" ht="20" hidden="1" customHeight="1" outlineLevel="1">
      <c r="A364" s="10" t="s">
        <v>661</v>
      </c>
      <c r="B364" s="13" t="s">
        <v>707</v>
      </c>
      <c r="C364" s="13"/>
      <c r="D364" s="13" t="s">
        <v>708</v>
      </c>
      <c r="E364" s="13" t="s">
        <v>25</v>
      </c>
      <c r="F364" s="16">
        <v>7.7000000000000002E-3</v>
      </c>
      <c r="G364" s="13" t="s">
        <v>97</v>
      </c>
      <c r="H364" s="13"/>
      <c r="I364" s="13"/>
      <c r="J364" s="13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  <c r="AI364" s="14"/>
      <c r="AJ364" s="14"/>
      <c r="AK364" s="14"/>
      <c r="AL364" s="14"/>
      <c r="AM364" s="14"/>
      <c r="AN364" s="14"/>
      <c r="AO364" s="14"/>
    </row>
    <row r="365" spans="1:41" ht="20" hidden="1" customHeight="1" outlineLevel="1">
      <c r="A365" s="10" t="s">
        <v>661</v>
      </c>
      <c r="B365" s="13" t="s">
        <v>709</v>
      </c>
      <c r="C365" s="13"/>
      <c r="D365" s="13" t="s">
        <v>710</v>
      </c>
      <c r="E365" s="13" t="s">
        <v>25</v>
      </c>
      <c r="F365" s="16">
        <v>8.6E-3</v>
      </c>
      <c r="G365" s="13" t="s">
        <v>97</v>
      </c>
      <c r="H365" s="13"/>
      <c r="I365" s="13"/>
      <c r="J365" s="13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  <c r="AI365" s="14"/>
      <c r="AJ365" s="14"/>
      <c r="AK365" s="14"/>
      <c r="AL365" s="14"/>
      <c r="AM365" s="14"/>
      <c r="AN365" s="14"/>
      <c r="AO365" s="14"/>
    </row>
    <row r="366" spans="1:41" ht="20" hidden="1" customHeight="1" outlineLevel="1">
      <c r="A366" s="10" t="s">
        <v>661</v>
      </c>
      <c r="B366" s="13" t="s">
        <v>711</v>
      </c>
      <c r="C366" s="13"/>
      <c r="D366" s="13" t="s">
        <v>712</v>
      </c>
      <c r="E366" s="13" t="s">
        <v>25</v>
      </c>
      <c r="F366" s="16">
        <v>9.4000000000000004E-3</v>
      </c>
      <c r="G366" s="13" t="s">
        <v>97</v>
      </c>
      <c r="H366" s="13"/>
      <c r="I366" s="13"/>
      <c r="J366" s="13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  <c r="AI366" s="14"/>
      <c r="AJ366" s="14"/>
      <c r="AK366" s="14"/>
      <c r="AL366" s="14"/>
      <c r="AM366" s="14"/>
      <c r="AN366" s="14"/>
      <c r="AO366" s="14"/>
    </row>
    <row r="367" spans="1:41" ht="20" hidden="1" customHeight="1" outlineLevel="1">
      <c r="A367" s="10" t="s">
        <v>661</v>
      </c>
      <c r="B367" s="13" t="s">
        <v>713</v>
      </c>
      <c r="C367" s="13"/>
      <c r="D367" s="13" t="s">
        <v>714</v>
      </c>
      <c r="E367" s="13" t="s">
        <v>25</v>
      </c>
      <c r="F367" s="16">
        <v>1.0200000000000001E-2</v>
      </c>
      <c r="G367" s="13" t="s">
        <v>97</v>
      </c>
      <c r="H367" s="13"/>
      <c r="I367" s="13"/>
      <c r="J367" s="13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  <c r="AI367" s="14"/>
      <c r="AJ367" s="14"/>
      <c r="AK367" s="14"/>
      <c r="AL367" s="14"/>
      <c r="AM367" s="14"/>
      <c r="AN367" s="14"/>
      <c r="AO367" s="14"/>
    </row>
    <row r="368" spans="1:41" ht="20" hidden="1" customHeight="1" outlineLevel="1">
      <c r="A368" s="10" t="s">
        <v>661</v>
      </c>
      <c r="B368" s="13" t="s">
        <v>715</v>
      </c>
      <c r="C368" s="13"/>
      <c r="D368" s="13" t="s">
        <v>716</v>
      </c>
      <c r="E368" s="13" t="s">
        <v>25</v>
      </c>
      <c r="F368" s="16">
        <v>1.11E-2</v>
      </c>
      <c r="G368" s="13" t="s">
        <v>97</v>
      </c>
      <c r="H368" s="13"/>
      <c r="I368" s="13"/>
      <c r="J368" s="13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  <c r="AI368" s="14"/>
      <c r="AJ368" s="14"/>
      <c r="AK368" s="14"/>
      <c r="AL368" s="14"/>
      <c r="AM368" s="14"/>
      <c r="AN368" s="14"/>
      <c r="AO368" s="14"/>
    </row>
    <row r="369" spans="1:41" ht="20" hidden="1" customHeight="1" outlineLevel="1">
      <c r="A369" s="10" t="s">
        <v>661</v>
      </c>
      <c r="B369" s="13" t="s">
        <v>717</v>
      </c>
      <c r="C369" s="13"/>
      <c r="D369" s="13" t="s">
        <v>718</v>
      </c>
      <c r="E369" s="13" t="s">
        <v>25</v>
      </c>
      <c r="F369" s="16">
        <v>1.1900000000000001E-2</v>
      </c>
      <c r="G369" s="13" t="s">
        <v>97</v>
      </c>
      <c r="H369" s="13"/>
      <c r="I369" s="13"/>
      <c r="J369" s="13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  <c r="AI369" s="14"/>
      <c r="AJ369" s="14"/>
      <c r="AK369" s="14"/>
      <c r="AL369" s="14"/>
      <c r="AM369" s="14"/>
      <c r="AN369" s="14"/>
      <c r="AO369" s="14"/>
    </row>
    <row r="370" spans="1:41" ht="20" hidden="1" customHeight="1" outlineLevel="1">
      <c r="A370" s="10" t="s">
        <v>661</v>
      </c>
      <c r="B370" s="13" t="s">
        <v>719</v>
      </c>
      <c r="C370" s="13"/>
      <c r="D370" s="13" t="s">
        <v>720</v>
      </c>
      <c r="E370" s="13" t="s">
        <v>721</v>
      </c>
      <c r="F370" s="16">
        <v>6.2799999999999995E-2</v>
      </c>
      <c r="G370" s="13" t="s">
        <v>722</v>
      </c>
      <c r="H370" s="13" t="s">
        <v>723</v>
      </c>
      <c r="I370" s="13"/>
      <c r="J370" s="13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  <c r="AI370" s="14"/>
      <c r="AJ370" s="14"/>
      <c r="AK370" s="14"/>
      <c r="AL370" s="14"/>
      <c r="AM370" s="14"/>
      <c r="AN370" s="14"/>
      <c r="AO370" s="14"/>
    </row>
    <row r="371" spans="1:41" ht="20" hidden="1" customHeight="1" outlineLevel="1">
      <c r="A371" s="10" t="s">
        <v>661</v>
      </c>
      <c r="B371" s="13" t="s">
        <v>724</v>
      </c>
      <c r="C371" s="13"/>
      <c r="D371" s="13" t="s">
        <v>725</v>
      </c>
      <c r="E371" s="13" t="s">
        <v>721</v>
      </c>
      <c r="F371" s="16">
        <v>7.0699999999999999E-2</v>
      </c>
      <c r="G371" s="13" t="s">
        <v>722</v>
      </c>
      <c r="H371" s="13" t="s">
        <v>723</v>
      </c>
      <c r="I371" s="13"/>
      <c r="J371" s="13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  <c r="AI371" s="14"/>
      <c r="AJ371" s="14"/>
      <c r="AK371" s="14"/>
      <c r="AL371" s="14"/>
      <c r="AM371" s="14"/>
      <c r="AN371" s="14"/>
      <c r="AO371" s="14"/>
    </row>
    <row r="372" spans="1:41" ht="20" hidden="1" customHeight="1" outlineLevel="1">
      <c r="A372" s="10" t="s">
        <v>661</v>
      </c>
      <c r="B372" s="13" t="s">
        <v>726</v>
      </c>
      <c r="C372" s="13"/>
      <c r="D372" s="13" t="s">
        <v>727</v>
      </c>
      <c r="E372" s="13" t="s">
        <v>721</v>
      </c>
      <c r="F372" s="16">
        <v>7.85E-2</v>
      </c>
      <c r="G372" s="13" t="s">
        <v>722</v>
      </c>
      <c r="H372" s="13" t="s">
        <v>723</v>
      </c>
      <c r="I372" s="13"/>
      <c r="J372" s="13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  <c r="AI372" s="14"/>
      <c r="AJ372" s="14"/>
      <c r="AK372" s="14"/>
      <c r="AL372" s="14"/>
      <c r="AM372" s="14"/>
      <c r="AN372" s="14"/>
      <c r="AO372" s="14"/>
    </row>
    <row r="373" spans="1:41" ht="20" hidden="1" customHeight="1" outlineLevel="1">
      <c r="A373" s="10" t="s">
        <v>661</v>
      </c>
      <c r="B373" s="13" t="s">
        <v>728</v>
      </c>
      <c r="C373" s="13"/>
      <c r="D373" s="13" t="s">
        <v>729</v>
      </c>
      <c r="E373" s="13" t="s">
        <v>721</v>
      </c>
      <c r="F373" s="16">
        <v>8.6400000000000005E-2</v>
      </c>
      <c r="G373" s="13" t="s">
        <v>722</v>
      </c>
      <c r="H373" s="13" t="s">
        <v>723</v>
      </c>
      <c r="I373" s="13"/>
      <c r="J373" s="13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  <c r="AI373" s="14"/>
      <c r="AJ373" s="14"/>
      <c r="AK373" s="14"/>
      <c r="AL373" s="14"/>
      <c r="AM373" s="14"/>
      <c r="AN373" s="14"/>
      <c r="AO373" s="14"/>
    </row>
    <row r="374" spans="1:41" ht="20" hidden="1" customHeight="1" outlineLevel="1">
      <c r="A374" s="10" t="s">
        <v>661</v>
      </c>
      <c r="B374" s="13" t="s">
        <v>730</v>
      </c>
      <c r="C374" s="13"/>
      <c r="D374" s="13" t="s">
        <v>731</v>
      </c>
      <c r="E374" s="13" t="s">
        <v>721</v>
      </c>
      <c r="F374" s="16">
        <v>9.4299999999999995E-2</v>
      </c>
      <c r="G374" s="13" t="s">
        <v>722</v>
      </c>
      <c r="H374" s="13" t="s">
        <v>723</v>
      </c>
      <c r="I374" s="13"/>
      <c r="J374" s="13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  <c r="AI374" s="14"/>
      <c r="AJ374" s="14"/>
      <c r="AK374" s="14"/>
      <c r="AL374" s="14"/>
      <c r="AM374" s="14"/>
      <c r="AN374" s="14"/>
      <c r="AO374" s="14"/>
    </row>
    <row r="375" spans="1:41" ht="20" hidden="1" customHeight="1" outlineLevel="1">
      <c r="A375" s="10" t="s">
        <v>661</v>
      </c>
      <c r="B375" s="13" t="s">
        <v>732</v>
      </c>
      <c r="C375" s="13"/>
      <c r="D375" s="13" t="s">
        <v>733</v>
      </c>
      <c r="E375" s="13" t="s">
        <v>721</v>
      </c>
      <c r="F375" s="16">
        <v>0.1022</v>
      </c>
      <c r="G375" s="13" t="s">
        <v>722</v>
      </c>
      <c r="H375" s="13" t="s">
        <v>723</v>
      </c>
      <c r="I375" s="13"/>
      <c r="J375" s="13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  <c r="AI375" s="14"/>
      <c r="AJ375" s="14"/>
      <c r="AK375" s="14"/>
      <c r="AL375" s="14"/>
      <c r="AM375" s="14"/>
      <c r="AN375" s="14"/>
      <c r="AO375" s="14"/>
    </row>
    <row r="376" spans="1:41" ht="20" hidden="1" customHeight="1" outlineLevel="1">
      <c r="A376" s="10" t="s">
        <v>661</v>
      </c>
      <c r="B376" s="13" t="s">
        <v>734</v>
      </c>
      <c r="C376" s="13"/>
      <c r="D376" s="13" t="s">
        <v>735</v>
      </c>
      <c r="E376" s="13" t="s">
        <v>721</v>
      </c>
      <c r="F376" s="16">
        <v>0.1101</v>
      </c>
      <c r="G376" s="13" t="s">
        <v>722</v>
      </c>
      <c r="H376" s="13" t="s">
        <v>723</v>
      </c>
      <c r="I376" s="13"/>
      <c r="J376" s="13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  <c r="AI376" s="14"/>
      <c r="AJ376" s="14"/>
      <c r="AK376" s="14"/>
      <c r="AL376" s="14"/>
      <c r="AM376" s="14"/>
      <c r="AN376" s="14"/>
      <c r="AO376" s="14"/>
    </row>
    <row r="377" spans="1:41" ht="20" hidden="1" customHeight="1" outlineLevel="1">
      <c r="A377" s="10" t="s">
        <v>661</v>
      </c>
      <c r="B377" s="13" t="s">
        <v>736</v>
      </c>
      <c r="C377" s="13"/>
      <c r="D377" s="13" t="s">
        <v>737</v>
      </c>
      <c r="E377" s="13" t="s">
        <v>721</v>
      </c>
      <c r="F377" s="16">
        <v>0.11799999999999999</v>
      </c>
      <c r="G377" s="13" t="s">
        <v>722</v>
      </c>
      <c r="H377" s="13" t="s">
        <v>723</v>
      </c>
      <c r="I377" s="13"/>
      <c r="J377" s="13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  <c r="AI377" s="14"/>
      <c r="AJ377" s="14"/>
      <c r="AK377" s="14"/>
      <c r="AL377" s="14"/>
      <c r="AM377" s="14"/>
      <c r="AN377" s="14"/>
      <c r="AO377" s="14"/>
    </row>
    <row r="378" spans="1:41" ht="20" hidden="1" customHeight="1" outlineLevel="1">
      <c r="A378" s="10" t="s">
        <v>661</v>
      </c>
      <c r="B378" s="13" t="s">
        <v>738</v>
      </c>
      <c r="C378" s="13"/>
      <c r="D378" s="13" t="s">
        <v>739</v>
      </c>
      <c r="E378" s="13" t="s">
        <v>721</v>
      </c>
      <c r="F378" s="16">
        <v>0.12590000000000001</v>
      </c>
      <c r="G378" s="13" t="s">
        <v>722</v>
      </c>
      <c r="H378" s="13" t="s">
        <v>723</v>
      </c>
      <c r="I378" s="13"/>
      <c r="J378" s="13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  <c r="AI378" s="14"/>
      <c r="AJ378" s="14"/>
      <c r="AK378" s="14"/>
      <c r="AL378" s="14"/>
      <c r="AM378" s="14"/>
      <c r="AN378" s="14"/>
      <c r="AO378" s="14"/>
    </row>
    <row r="379" spans="1:41" ht="20" hidden="1" customHeight="1" outlineLevel="1">
      <c r="A379" s="10" t="s">
        <v>661</v>
      </c>
      <c r="B379" s="13" t="s">
        <v>740</v>
      </c>
      <c r="C379" s="13"/>
      <c r="D379" s="13" t="s">
        <v>741</v>
      </c>
      <c r="E379" s="13" t="s">
        <v>721</v>
      </c>
      <c r="F379" s="16">
        <v>0.1338</v>
      </c>
      <c r="G379" s="13" t="s">
        <v>722</v>
      </c>
      <c r="H379" s="13" t="s">
        <v>723</v>
      </c>
      <c r="I379" s="13"/>
      <c r="J379" s="13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  <c r="AI379" s="14"/>
      <c r="AJ379" s="14"/>
      <c r="AK379" s="14"/>
      <c r="AL379" s="14"/>
      <c r="AM379" s="14"/>
      <c r="AN379" s="14"/>
      <c r="AO379" s="14"/>
    </row>
    <row r="380" spans="1:41" ht="20" hidden="1" customHeight="1" outlineLevel="1">
      <c r="A380" s="10" t="s">
        <v>661</v>
      </c>
      <c r="B380" s="13" t="s">
        <v>742</v>
      </c>
      <c r="C380" s="13"/>
      <c r="D380" s="13" t="s">
        <v>743</v>
      </c>
      <c r="E380" s="13" t="s">
        <v>721</v>
      </c>
      <c r="F380" s="16">
        <v>0.14169999999999999</v>
      </c>
      <c r="G380" s="13" t="s">
        <v>722</v>
      </c>
      <c r="H380" s="13" t="s">
        <v>723</v>
      </c>
      <c r="I380" s="13"/>
      <c r="J380" s="13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  <c r="AI380" s="14"/>
      <c r="AJ380" s="14"/>
      <c r="AK380" s="14"/>
      <c r="AL380" s="14"/>
      <c r="AM380" s="14"/>
      <c r="AN380" s="14"/>
      <c r="AO380" s="14"/>
    </row>
    <row r="381" spans="1:41" ht="20" hidden="1" customHeight="1" outlineLevel="1">
      <c r="A381" s="10" t="s">
        <v>661</v>
      </c>
      <c r="B381" s="13" t="s">
        <v>744</v>
      </c>
      <c r="C381" s="13"/>
      <c r="D381" s="13" t="s">
        <v>745</v>
      </c>
      <c r="E381" s="13" t="s">
        <v>721</v>
      </c>
      <c r="F381" s="16">
        <v>0.14960000000000001</v>
      </c>
      <c r="G381" s="13" t="s">
        <v>722</v>
      </c>
      <c r="H381" s="13" t="s">
        <v>723</v>
      </c>
      <c r="I381" s="13"/>
      <c r="J381" s="13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  <c r="AI381" s="14"/>
      <c r="AJ381" s="14"/>
      <c r="AK381" s="14"/>
      <c r="AL381" s="14"/>
      <c r="AM381" s="14"/>
      <c r="AN381" s="14"/>
      <c r="AO381" s="14"/>
    </row>
    <row r="382" spans="1:41" ht="20" hidden="1" customHeight="1" outlineLevel="1">
      <c r="A382" s="10" t="s">
        <v>661</v>
      </c>
      <c r="B382" s="13" t="s">
        <v>746</v>
      </c>
      <c r="C382" s="13"/>
      <c r="D382" s="13" t="s">
        <v>747</v>
      </c>
      <c r="E382" s="13" t="s">
        <v>721</v>
      </c>
      <c r="F382" s="16">
        <v>0.1575</v>
      </c>
      <c r="G382" s="13" t="s">
        <v>722</v>
      </c>
      <c r="H382" s="13" t="s">
        <v>723</v>
      </c>
      <c r="I382" s="13"/>
      <c r="J382" s="13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  <c r="AI382" s="14"/>
      <c r="AJ382" s="14"/>
      <c r="AK382" s="14"/>
      <c r="AL382" s="14"/>
      <c r="AM382" s="14"/>
      <c r="AN382" s="14"/>
      <c r="AO382" s="14"/>
    </row>
    <row r="383" spans="1:41" ht="20" hidden="1" customHeight="1" outlineLevel="1">
      <c r="A383" s="10" t="s">
        <v>661</v>
      </c>
      <c r="B383" s="13" t="s">
        <v>748</v>
      </c>
      <c r="C383" s="13"/>
      <c r="D383" s="13" t="s">
        <v>749</v>
      </c>
      <c r="E383" s="13" t="s">
        <v>721</v>
      </c>
      <c r="F383" s="16">
        <v>0.16539999999999999</v>
      </c>
      <c r="G383" s="13" t="s">
        <v>722</v>
      </c>
      <c r="H383" s="13" t="s">
        <v>723</v>
      </c>
      <c r="I383" s="13"/>
      <c r="J383" s="13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  <c r="AI383" s="14"/>
      <c r="AJ383" s="14"/>
      <c r="AK383" s="14"/>
      <c r="AL383" s="14"/>
      <c r="AM383" s="14"/>
      <c r="AN383" s="14"/>
      <c r="AO383" s="14"/>
    </row>
    <row r="384" spans="1:41" ht="20" hidden="1" customHeight="1" outlineLevel="1">
      <c r="A384" s="10" t="s">
        <v>661</v>
      </c>
      <c r="B384" s="13" t="s">
        <v>750</v>
      </c>
      <c r="C384" s="13"/>
      <c r="D384" s="13" t="s">
        <v>751</v>
      </c>
      <c r="E384" s="13" t="s">
        <v>721</v>
      </c>
      <c r="F384" s="16">
        <v>0.17319999999999999</v>
      </c>
      <c r="G384" s="13" t="s">
        <v>722</v>
      </c>
      <c r="H384" s="13" t="s">
        <v>723</v>
      </c>
      <c r="I384" s="13"/>
      <c r="J384" s="13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  <c r="AI384" s="14"/>
      <c r="AJ384" s="14"/>
      <c r="AK384" s="14"/>
      <c r="AL384" s="14"/>
      <c r="AM384" s="14"/>
      <c r="AN384" s="14"/>
      <c r="AO384" s="14"/>
    </row>
    <row r="385" spans="1:41" ht="20" hidden="1" customHeight="1" outlineLevel="1">
      <c r="A385" s="10" t="s">
        <v>661</v>
      </c>
      <c r="B385" s="13" t="s">
        <v>752</v>
      </c>
      <c r="C385" s="13"/>
      <c r="D385" s="13" t="s">
        <v>753</v>
      </c>
      <c r="E385" s="13" t="s">
        <v>721</v>
      </c>
      <c r="F385" s="16">
        <v>0.18110000000000001</v>
      </c>
      <c r="G385" s="13" t="s">
        <v>722</v>
      </c>
      <c r="H385" s="13" t="s">
        <v>723</v>
      </c>
      <c r="I385" s="13"/>
      <c r="J385" s="13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  <c r="AI385" s="14"/>
      <c r="AJ385" s="14"/>
      <c r="AK385" s="14"/>
      <c r="AL385" s="14"/>
      <c r="AM385" s="14"/>
      <c r="AN385" s="14"/>
      <c r="AO385" s="14"/>
    </row>
    <row r="386" spans="1:41" ht="20" hidden="1" customHeight="1" outlineLevel="1">
      <c r="A386" s="10" t="s">
        <v>661</v>
      </c>
      <c r="B386" s="13" t="s">
        <v>754</v>
      </c>
      <c r="C386" s="13"/>
      <c r="D386" s="13" t="s">
        <v>755</v>
      </c>
      <c r="E386" s="13" t="s">
        <v>721</v>
      </c>
      <c r="F386" s="16">
        <v>0.189</v>
      </c>
      <c r="G386" s="13" t="s">
        <v>722</v>
      </c>
      <c r="H386" s="13" t="s">
        <v>723</v>
      </c>
      <c r="I386" s="13"/>
      <c r="J386" s="13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  <c r="AI386" s="14"/>
      <c r="AJ386" s="14"/>
      <c r="AK386" s="14"/>
      <c r="AL386" s="14"/>
      <c r="AM386" s="14"/>
      <c r="AN386" s="14"/>
      <c r="AO386" s="14"/>
    </row>
    <row r="387" spans="1:41" ht="20" hidden="1" customHeight="1" outlineLevel="1">
      <c r="A387" s="10" t="s">
        <v>661</v>
      </c>
      <c r="B387" s="13" t="s">
        <v>756</v>
      </c>
      <c r="C387" s="13"/>
      <c r="D387" s="13" t="s">
        <v>757</v>
      </c>
      <c r="E387" s="13" t="s">
        <v>721</v>
      </c>
      <c r="F387" s="16">
        <v>0.19689999999999999</v>
      </c>
      <c r="G387" s="13" t="s">
        <v>722</v>
      </c>
      <c r="H387" s="13" t="s">
        <v>723</v>
      </c>
      <c r="I387" s="13"/>
      <c r="J387" s="13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  <c r="AI387" s="14"/>
      <c r="AJ387" s="14"/>
      <c r="AK387" s="14"/>
      <c r="AL387" s="14"/>
      <c r="AM387" s="14"/>
      <c r="AN387" s="14"/>
      <c r="AO387" s="14"/>
    </row>
    <row r="388" spans="1:41" ht="20" hidden="1" customHeight="1" outlineLevel="1">
      <c r="A388" s="10" t="s">
        <v>661</v>
      </c>
      <c r="B388" s="13" t="s">
        <v>758</v>
      </c>
      <c r="C388" s="13"/>
      <c r="D388" s="13" t="s">
        <v>759</v>
      </c>
      <c r="E388" s="13" t="s">
        <v>721</v>
      </c>
      <c r="F388" s="16">
        <v>0.20480000000000001</v>
      </c>
      <c r="G388" s="13" t="s">
        <v>722</v>
      </c>
      <c r="H388" s="13" t="s">
        <v>723</v>
      </c>
      <c r="I388" s="13"/>
      <c r="J388" s="13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  <c r="AI388" s="14"/>
      <c r="AJ388" s="14"/>
      <c r="AK388" s="14"/>
      <c r="AL388" s="14"/>
      <c r="AM388" s="14"/>
      <c r="AN388" s="14"/>
      <c r="AO388" s="14"/>
    </row>
    <row r="389" spans="1:41" ht="20" hidden="1" customHeight="1" outlineLevel="1">
      <c r="A389" s="10" t="s">
        <v>661</v>
      </c>
      <c r="B389" s="13" t="s">
        <v>760</v>
      </c>
      <c r="C389" s="13"/>
      <c r="D389" s="13" t="s">
        <v>761</v>
      </c>
      <c r="E389" s="13" t="s">
        <v>721</v>
      </c>
      <c r="F389" s="16">
        <v>0.2127</v>
      </c>
      <c r="G389" s="13" t="s">
        <v>722</v>
      </c>
      <c r="H389" s="13" t="s">
        <v>723</v>
      </c>
      <c r="I389" s="13"/>
      <c r="J389" s="13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  <c r="AI389" s="14"/>
      <c r="AJ389" s="14"/>
      <c r="AK389" s="14"/>
      <c r="AL389" s="14"/>
      <c r="AM389" s="14"/>
      <c r="AN389" s="14"/>
      <c r="AO389" s="14"/>
    </row>
    <row r="390" spans="1:41" ht="20" hidden="1" customHeight="1" outlineLevel="1">
      <c r="A390" s="10" t="s">
        <v>661</v>
      </c>
      <c r="B390" s="13" t="s">
        <v>762</v>
      </c>
      <c r="C390" s="13"/>
      <c r="D390" s="13" t="s">
        <v>763</v>
      </c>
      <c r="E390" s="13" t="s">
        <v>721</v>
      </c>
      <c r="F390" s="16">
        <v>0.22059999999999999</v>
      </c>
      <c r="G390" s="13" t="s">
        <v>722</v>
      </c>
      <c r="H390" s="13" t="s">
        <v>723</v>
      </c>
      <c r="I390" s="13"/>
      <c r="J390" s="13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  <c r="AI390" s="14"/>
      <c r="AJ390" s="14"/>
      <c r="AK390" s="14"/>
      <c r="AL390" s="14"/>
      <c r="AM390" s="14"/>
      <c r="AN390" s="14"/>
      <c r="AO390" s="14"/>
    </row>
    <row r="391" spans="1:41" ht="20" hidden="1" customHeight="1" outlineLevel="1">
      <c r="A391" s="10" t="s">
        <v>661</v>
      </c>
      <c r="B391" s="13" t="s">
        <v>764</v>
      </c>
      <c r="C391" s="13"/>
      <c r="D391" s="13" t="s">
        <v>765</v>
      </c>
      <c r="E391" s="13" t="s">
        <v>721</v>
      </c>
      <c r="F391" s="16">
        <v>0.22850000000000001</v>
      </c>
      <c r="G391" s="13" t="s">
        <v>722</v>
      </c>
      <c r="H391" s="13" t="s">
        <v>723</v>
      </c>
      <c r="I391" s="13"/>
      <c r="J391" s="13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  <c r="AI391" s="14"/>
      <c r="AJ391" s="14"/>
      <c r="AK391" s="14"/>
      <c r="AL391" s="14"/>
      <c r="AM391" s="14"/>
      <c r="AN391" s="14"/>
      <c r="AO391" s="14"/>
    </row>
    <row r="392" spans="1:41" ht="20" hidden="1" customHeight="1" outlineLevel="1">
      <c r="A392" s="10" t="s">
        <v>661</v>
      </c>
      <c r="B392" s="13" t="s">
        <v>766</v>
      </c>
      <c r="C392" s="13"/>
      <c r="D392" s="13" t="s">
        <v>767</v>
      </c>
      <c r="E392" s="13" t="s">
        <v>721</v>
      </c>
      <c r="F392" s="16">
        <v>0.2364</v>
      </c>
      <c r="G392" s="13" t="s">
        <v>722</v>
      </c>
      <c r="H392" s="13" t="s">
        <v>723</v>
      </c>
      <c r="I392" s="13"/>
      <c r="J392" s="13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  <c r="AI392" s="14"/>
      <c r="AJ392" s="14"/>
      <c r="AK392" s="14"/>
      <c r="AL392" s="14"/>
      <c r="AM392" s="14"/>
      <c r="AN392" s="14"/>
      <c r="AO392" s="14"/>
    </row>
    <row r="393" spans="1:41" ht="20" hidden="1" customHeight="1" outlineLevel="1">
      <c r="A393" s="10" t="s">
        <v>661</v>
      </c>
      <c r="B393" s="13" t="s">
        <v>768</v>
      </c>
      <c r="C393" s="13"/>
      <c r="D393" s="13" t="s">
        <v>769</v>
      </c>
      <c r="E393" s="13" t="s">
        <v>721</v>
      </c>
      <c r="F393" s="16">
        <v>0.24429999999999999</v>
      </c>
      <c r="G393" s="13" t="s">
        <v>722</v>
      </c>
      <c r="H393" s="13" t="s">
        <v>723</v>
      </c>
      <c r="I393" s="13"/>
      <c r="J393" s="13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  <c r="AI393" s="14"/>
      <c r="AJ393" s="14"/>
      <c r="AK393" s="14"/>
      <c r="AL393" s="14"/>
      <c r="AM393" s="14"/>
      <c r="AN393" s="14"/>
      <c r="AO393" s="14"/>
    </row>
    <row r="394" spans="1:41" ht="20" hidden="1" customHeight="1" outlineLevel="1">
      <c r="A394" s="10" t="s">
        <v>661</v>
      </c>
      <c r="B394" s="13" t="s">
        <v>770</v>
      </c>
      <c r="C394" s="13"/>
      <c r="D394" s="13" t="s">
        <v>771</v>
      </c>
      <c r="E394" s="13" t="s">
        <v>721</v>
      </c>
      <c r="F394" s="16">
        <v>0.25219999999999998</v>
      </c>
      <c r="G394" s="13" t="s">
        <v>722</v>
      </c>
      <c r="H394" s="13" t="s">
        <v>723</v>
      </c>
      <c r="I394" s="13"/>
      <c r="J394" s="13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  <c r="AI394" s="14"/>
      <c r="AJ394" s="14"/>
      <c r="AK394" s="14"/>
      <c r="AL394" s="14"/>
      <c r="AM394" s="14"/>
      <c r="AN394" s="14"/>
      <c r="AO394" s="14"/>
    </row>
    <row r="395" spans="1:41" ht="20" hidden="1" customHeight="1" outlineLevel="1">
      <c r="A395" s="10" t="s">
        <v>661</v>
      </c>
      <c r="B395" s="13" t="s">
        <v>772</v>
      </c>
      <c r="C395" s="13"/>
      <c r="D395" s="13" t="s">
        <v>773</v>
      </c>
      <c r="E395" s="13" t="s">
        <v>721</v>
      </c>
      <c r="F395" s="16">
        <v>0.2601</v>
      </c>
      <c r="G395" s="13" t="s">
        <v>722</v>
      </c>
      <c r="H395" s="13" t="s">
        <v>723</v>
      </c>
      <c r="I395" s="13"/>
      <c r="J395" s="13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  <c r="AI395" s="14"/>
      <c r="AJ395" s="14"/>
      <c r="AK395" s="14"/>
      <c r="AL395" s="14"/>
      <c r="AM395" s="14"/>
      <c r="AN395" s="14"/>
      <c r="AO395" s="14"/>
    </row>
    <row r="396" spans="1:41" ht="20" hidden="1" customHeight="1" outlineLevel="1">
      <c r="A396" s="10" t="s">
        <v>661</v>
      </c>
      <c r="B396" s="13" t="s">
        <v>774</v>
      </c>
      <c r="C396" s="13"/>
      <c r="D396" s="13" t="s">
        <v>775</v>
      </c>
      <c r="E396" s="13" t="s">
        <v>721</v>
      </c>
      <c r="F396" s="16">
        <v>0.26790000000000003</v>
      </c>
      <c r="G396" s="13" t="s">
        <v>722</v>
      </c>
      <c r="H396" s="13" t="s">
        <v>723</v>
      </c>
      <c r="I396" s="13"/>
      <c r="J396" s="13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  <c r="AI396" s="14"/>
      <c r="AJ396" s="14"/>
      <c r="AK396" s="14"/>
      <c r="AL396" s="14"/>
      <c r="AM396" s="14"/>
      <c r="AN396" s="14"/>
      <c r="AO396" s="14"/>
    </row>
    <row r="397" spans="1:41" ht="20" hidden="1" customHeight="1" outlineLevel="1">
      <c r="A397" s="10" t="s">
        <v>661</v>
      </c>
      <c r="B397" s="13" t="s">
        <v>776</v>
      </c>
      <c r="C397" s="13"/>
      <c r="D397" s="13" t="s">
        <v>777</v>
      </c>
      <c r="E397" s="13" t="s">
        <v>721</v>
      </c>
      <c r="F397" s="16">
        <v>0.27579999999999999</v>
      </c>
      <c r="G397" s="13" t="s">
        <v>722</v>
      </c>
      <c r="H397" s="13" t="s">
        <v>723</v>
      </c>
      <c r="I397" s="13"/>
      <c r="J397" s="13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  <c r="AI397" s="14"/>
      <c r="AJ397" s="14"/>
      <c r="AK397" s="14"/>
      <c r="AL397" s="14"/>
      <c r="AM397" s="14"/>
      <c r="AN397" s="14"/>
      <c r="AO397" s="14"/>
    </row>
    <row r="398" spans="1:41" ht="20" hidden="1" customHeight="1" outlineLevel="1">
      <c r="A398" s="10" t="s">
        <v>661</v>
      </c>
      <c r="B398" s="13" t="s">
        <v>778</v>
      </c>
      <c r="C398" s="13"/>
      <c r="D398" s="13" t="s">
        <v>779</v>
      </c>
      <c r="E398" s="13" t="s">
        <v>721</v>
      </c>
      <c r="F398" s="16">
        <v>0.28370000000000001</v>
      </c>
      <c r="G398" s="13" t="s">
        <v>722</v>
      </c>
      <c r="H398" s="13" t="s">
        <v>723</v>
      </c>
      <c r="I398" s="13"/>
      <c r="J398" s="13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  <c r="AI398" s="14"/>
      <c r="AJ398" s="14"/>
      <c r="AK398" s="14"/>
      <c r="AL398" s="14"/>
      <c r="AM398" s="14"/>
      <c r="AN398" s="14"/>
      <c r="AO398" s="14"/>
    </row>
    <row r="399" spans="1:41" ht="20" hidden="1" customHeight="1" outlineLevel="1">
      <c r="A399" s="10" t="s">
        <v>661</v>
      </c>
      <c r="B399" s="13" t="s">
        <v>780</v>
      </c>
      <c r="C399" s="13"/>
      <c r="D399" s="13" t="s">
        <v>781</v>
      </c>
      <c r="E399" s="13" t="s">
        <v>721</v>
      </c>
      <c r="F399" s="16">
        <v>0.29160000000000003</v>
      </c>
      <c r="G399" s="13" t="s">
        <v>722</v>
      </c>
      <c r="H399" s="13" t="s">
        <v>723</v>
      </c>
      <c r="I399" s="13"/>
      <c r="J399" s="13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  <c r="AI399" s="14"/>
      <c r="AJ399" s="14"/>
      <c r="AK399" s="14"/>
      <c r="AL399" s="14"/>
      <c r="AM399" s="14"/>
      <c r="AN399" s="14"/>
      <c r="AO399" s="14"/>
    </row>
    <row r="400" spans="1:41" ht="20" hidden="1" customHeight="1" outlineLevel="1">
      <c r="A400" s="10" t="s">
        <v>661</v>
      </c>
      <c r="B400" s="13" t="s">
        <v>782</v>
      </c>
      <c r="C400" s="13"/>
      <c r="D400" s="13" t="s">
        <v>783</v>
      </c>
      <c r="E400" s="13" t="s">
        <v>721</v>
      </c>
      <c r="F400" s="16">
        <v>8.4099999999999994E-2</v>
      </c>
      <c r="G400" s="13" t="s">
        <v>722</v>
      </c>
      <c r="H400" s="13" t="s">
        <v>723</v>
      </c>
      <c r="I400" s="13"/>
      <c r="J400" s="13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  <c r="AI400" s="14"/>
      <c r="AJ400" s="14"/>
      <c r="AK400" s="14"/>
      <c r="AL400" s="14"/>
      <c r="AM400" s="14"/>
      <c r="AN400" s="14"/>
      <c r="AO400" s="14"/>
    </row>
    <row r="401" spans="1:41" ht="20" hidden="1" customHeight="1" outlineLevel="1">
      <c r="A401" s="10" t="s">
        <v>661</v>
      </c>
      <c r="B401" s="13" t="s">
        <v>784</v>
      </c>
      <c r="C401" s="13"/>
      <c r="D401" s="13" t="s">
        <v>785</v>
      </c>
      <c r="E401" s="13" t="s">
        <v>721</v>
      </c>
      <c r="F401" s="16">
        <v>9.4100000000000003E-2</v>
      </c>
      <c r="G401" s="13" t="s">
        <v>722</v>
      </c>
      <c r="H401" s="13" t="s">
        <v>723</v>
      </c>
      <c r="I401" s="13"/>
      <c r="J401" s="13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  <c r="AI401" s="14"/>
      <c r="AJ401" s="14"/>
      <c r="AK401" s="14"/>
      <c r="AL401" s="14"/>
      <c r="AM401" s="14"/>
      <c r="AN401" s="14"/>
      <c r="AO401" s="14"/>
    </row>
    <row r="402" spans="1:41" ht="20" hidden="1" customHeight="1" outlineLevel="1">
      <c r="A402" s="10" t="s">
        <v>661</v>
      </c>
      <c r="B402" s="13" t="s">
        <v>786</v>
      </c>
      <c r="C402" s="13"/>
      <c r="D402" s="13" t="s">
        <v>787</v>
      </c>
      <c r="E402" s="13" t="s">
        <v>721</v>
      </c>
      <c r="F402" s="16">
        <v>0.1041</v>
      </c>
      <c r="G402" s="13" t="s">
        <v>722</v>
      </c>
      <c r="H402" s="13" t="s">
        <v>723</v>
      </c>
      <c r="I402" s="13"/>
      <c r="J402" s="13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  <c r="AI402" s="14"/>
      <c r="AJ402" s="14"/>
      <c r="AK402" s="14"/>
      <c r="AL402" s="14"/>
      <c r="AM402" s="14"/>
      <c r="AN402" s="14"/>
      <c r="AO402" s="14"/>
    </row>
    <row r="403" spans="1:41" ht="20" hidden="1" customHeight="1" outlineLevel="1">
      <c r="A403" s="10" t="s">
        <v>661</v>
      </c>
      <c r="B403" s="13" t="s">
        <v>788</v>
      </c>
      <c r="C403" s="13"/>
      <c r="D403" s="13" t="s">
        <v>789</v>
      </c>
      <c r="E403" s="13" t="s">
        <v>721</v>
      </c>
      <c r="F403" s="16">
        <v>0.11409999999999999</v>
      </c>
      <c r="G403" s="13" t="s">
        <v>722</v>
      </c>
      <c r="H403" s="13" t="s">
        <v>723</v>
      </c>
      <c r="I403" s="13"/>
      <c r="J403" s="13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  <c r="AI403" s="14"/>
      <c r="AJ403" s="14"/>
      <c r="AK403" s="14"/>
      <c r="AL403" s="14"/>
      <c r="AM403" s="14"/>
      <c r="AN403" s="14"/>
      <c r="AO403" s="14"/>
    </row>
    <row r="404" spans="1:41" ht="20" hidden="1" customHeight="1" outlineLevel="1">
      <c r="A404" s="10" t="s">
        <v>661</v>
      </c>
      <c r="B404" s="13" t="s">
        <v>790</v>
      </c>
      <c r="C404" s="13"/>
      <c r="D404" s="13" t="s">
        <v>791</v>
      </c>
      <c r="E404" s="13" t="s">
        <v>721</v>
      </c>
      <c r="F404" s="16">
        <v>0.124</v>
      </c>
      <c r="G404" s="13" t="s">
        <v>722</v>
      </c>
      <c r="H404" s="13" t="s">
        <v>723</v>
      </c>
      <c r="I404" s="13"/>
      <c r="J404" s="13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  <c r="AI404" s="14"/>
      <c r="AJ404" s="14"/>
      <c r="AK404" s="14"/>
      <c r="AL404" s="14"/>
      <c r="AM404" s="14"/>
      <c r="AN404" s="14"/>
      <c r="AO404" s="14"/>
    </row>
    <row r="405" spans="1:41" ht="20" hidden="1" customHeight="1" outlineLevel="1">
      <c r="A405" s="10" t="s">
        <v>661</v>
      </c>
      <c r="B405" s="13" t="s">
        <v>792</v>
      </c>
      <c r="C405" s="13"/>
      <c r="D405" s="13" t="s">
        <v>793</v>
      </c>
      <c r="E405" s="13" t="s">
        <v>721</v>
      </c>
      <c r="F405" s="16">
        <v>0.13400000000000001</v>
      </c>
      <c r="G405" s="13" t="s">
        <v>722</v>
      </c>
      <c r="H405" s="13" t="s">
        <v>723</v>
      </c>
      <c r="I405" s="13"/>
      <c r="J405" s="13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  <c r="AI405" s="14"/>
      <c r="AJ405" s="14"/>
      <c r="AK405" s="14"/>
      <c r="AL405" s="14"/>
      <c r="AM405" s="14"/>
      <c r="AN405" s="14"/>
      <c r="AO405" s="14"/>
    </row>
    <row r="406" spans="1:41" ht="20" hidden="1" customHeight="1" outlineLevel="1">
      <c r="A406" s="10" t="s">
        <v>661</v>
      </c>
      <c r="B406" s="13" t="s">
        <v>794</v>
      </c>
      <c r="C406" s="13"/>
      <c r="D406" s="13" t="s">
        <v>795</v>
      </c>
      <c r="E406" s="13" t="s">
        <v>721</v>
      </c>
      <c r="F406" s="16">
        <v>0.14399999999999999</v>
      </c>
      <c r="G406" s="13" t="s">
        <v>722</v>
      </c>
      <c r="H406" s="13" t="s">
        <v>723</v>
      </c>
      <c r="I406" s="13"/>
      <c r="J406" s="13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  <c r="AI406" s="14"/>
      <c r="AJ406" s="14"/>
      <c r="AK406" s="14"/>
      <c r="AL406" s="14"/>
      <c r="AM406" s="14"/>
      <c r="AN406" s="14"/>
      <c r="AO406" s="14"/>
    </row>
    <row r="407" spans="1:41" ht="20" hidden="1" customHeight="1" outlineLevel="1">
      <c r="A407" s="10" t="s">
        <v>661</v>
      </c>
      <c r="B407" s="13" t="s">
        <v>796</v>
      </c>
      <c r="C407" s="13"/>
      <c r="D407" s="13" t="s">
        <v>797</v>
      </c>
      <c r="E407" s="13" t="s">
        <v>721</v>
      </c>
      <c r="F407" s="16">
        <v>0.154</v>
      </c>
      <c r="G407" s="13" t="s">
        <v>722</v>
      </c>
      <c r="H407" s="13" t="s">
        <v>723</v>
      </c>
      <c r="I407" s="13"/>
      <c r="J407" s="13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  <c r="AI407" s="14"/>
      <c r="AJ407" s="14"/>
      <c r="AK407" s="14"/>
      <c r="AL407" s="14"/>
      <c r="AM407" s="14"/>
      <c r="AN407" s="14"/>
      <c r="AO407" s="14"/>
    </row>
    <row r="408" spans="1:41" ht="20" hidden="1" customHeight="1" outlineLevel="1">
      <c r="A408" s="10" t="s">
        <v>661</v>
      </c>
      <c r="B408" s="13" t="s">
        <v>798</v>
      </c>
      <c r="C408" s="13"/>
      <c r="D408" s="13" t="s">
        <v>799</v>
      </c>
      <c r="E408" s="13" t="s">
        <v>721</v>
      </c>
      <c r="F408" s="16">
        <v>0.16400000000000001</v>
      </c>
      <c r="G408" s="13" t="s">
        <v>722</v>
      </c>
      <c r="H408" s="13" t="s">
        <v>723</v>
      </c>
      <c r="I408" s="13"/>
      <c r="J408" s="13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  <c r="AI408" s="14"/>
      <c r="AJ408" s="14"/>
      <c r="AK408" s="14"/>
      <c r="AL408" s="14"/>
      <c r="AM408" s="14"/>
      <c r="AN408" s="14"/>
      <c r="AO408" s="14"/>
    </row>
    <row r="409" spans="1:41" ht="20" hidden="1" customHeight="1" outlineLevel="1">
      <c r="A409" s="10" t="s">
        <v>661</v>
      </c>
      <c r="B409" s="13" t="s">
        <v>800</v>
      </c>
      <c r="C409" s="13"/>
      <c r="D409" s="13" t="s">
        <v>801</v>
      </c>
      <c r="E409" s="13" t="s">
        <v>721</v>
      </c>
      <c r="F409" s="16">
        <v>0.17399999999999999</v>
      </c>
      <c r="G409" s="13" t="s">
        <v>722</v>
      </c>
      <c r="H409" s="13" t="s">
        <v>723</v>
      </c>
      <c r="I409" s="13"/>
      <c r="J409" s="13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  <c r="AI409" s="14"/>
      <c r="AJ409" s="14"/>
      <c r="AK409" s="14"/>
      <c r="AL409" s="14"/>
      <c r="AM409" s="14"/>
      <c r="AN409" s="14"/>
      <c r="AO409" s="14"/>
    </row>
    <row r="410" spans="1:41" ht="20" hidden="1" customHeight="1" outlineLevel="1">
      <c r="A410" s="10" t="s">
        <v>661</v>
      </c>
      <c r="B410" s="13" t="s">
        <v>802</v>
      </c>
      <c r="C410" s="13"/>
      <c r="D410" s="13" t="s">
        <v>803</v>
      </c>
      <c r="E410" s="13" t="s">
        <v>721</v>
      </c>
      <c r="F410" s="16">
        <v>0.184</v>
      </c>
      <c r="G410" s="13" t="s">
        <v>722</v>
      </c>
      <c r="H410" s="13" t="s">
        <v>723</v>
      </c>
      <c r="I410" s="13"/>
      <c r="J410" s="13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  <c r="AI410" s="14"/>
      <c r="AJ410" s="14"/>
      <c r="AK410" s="14"/>
      <c r="AL410" s="14"/>
      <c r="AM410" s="14"/>
      <c r="AN410" s="14"/>
      <c r="AO410" s="14"/>
    </row>
    <row r="411" spans="1:41" ht="20" hidden="1" customHeight="1" outlineLevel="1">
      <c r="A411" s="10" t="s">
        <v>661</v>
      </c>
      <c r="B411" s="13" t="s">
        <v>804</v>
      </c>
      <c r="C411" s="13"/>
      <c r="D411" s="13" t="s">
        <v>805</v>
      </c>
      <c r="E411" s="13" t="s">
        <v>721</v>
      </c>
      <c r="F411" s="16">
        <v>0.19400000000000001</v>
      </c>
      <c r="G411" s="13" t="s">
        <v>722</v>
      </c>
      <c r="H411" s="13" t="s">
        <v>723</v>
      </c>
      <c r="I411" s="13"/>
      <c r="J411" s="13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  <c r="AI411" s="14"/>
      <c r="AJ411" s="14"/>
      <c r="AK411" s="14"/>
      <c r="AL411" s="14"/>
      <c r="AM411" s="14"/>
      <c r="AN411" s="14"/>
      <c r="AO411" s="14"/>
    </row>
    <row r="412" spans="1:41" ht="20" hidden="1" customHeight="1" outlineLevel="1">
      <c r="A412" s="10" t="s">
        <v>661</v>
      </c>
      <c r="B412" s="13" t="s">
        <v>806</v>
      </c>
      <c r="C412" s="13"/>
      <c r="D412" s="13" t="s">
        <v>807</v>
      </c>
      <c r="E412" s="13" t="s">
        <v>721</v>
      </c>
      <c r="F412" s="16">
        <v>0.20399999999999999</v>
      </c>
      <c r="G412" s="13" t="s">
        <v>722</v>
      </c>
      <c r="H412" s="13" t="s">
        <v>723</v>
      </c>
      <c r="I412" s="13"/>
      <c r="J412" s="13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  <c r="AI412" s="14"/>
      <c r="AJ412" s="14"/>
      <c r="AK412" s="14"/>
      <c r="AL412" s="14"/>
      <c r="AM412" s="14"/>
      <c r="AN412" s="14"/>
      <c r="AO412" s="14"/>
    </row>
    <row r="413" spans="1:41" ht="20" hidden="1" customHeight="1" outlineLevel="1">
      <c r="A413" s="10" t="s">
        <v>661</v>
      </c>
      <c r="B413" s="13" t="s">
        <v>808</v>
      </c>
      <c r="C413" s="13"/>
      <c r="D413" s="13" t="s">
        <v>809</v>
      </c>
      <c r="E413" s="13" t="s">
        <v>721</v>
      </c>
      <c r="F413" s="16">
        <v>0.21390000000000001</v>
      </c>
      <c r="G413" s="13" t="s">
        <v>722</v>
      </c>
      <c r="H413" s="13" t="s">
        <v>723</v>
      </c>
      <c r="I413" s="13"/>
      <c r="J413" s="13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  <c r="AI413" s="14"/>
      <c r="AJ413" s="14"/>
      <c r="AK413" s="14"/>
      <c r="AL413" s="14"/>
      <c r="AM413" s="14"/>
      <c r="AN413" s="14"/>
      <c r="AO413" s="14"/>
    </row>
    <row r="414" spans="1:41" ht="20" hidden="1" customHeight="1" outlineLevel="1">
      <c r="A414" s="10" t="s">
        <v>661</v>
      </c>
      <c r="B414" s="13" t="s">
        <v>810</v>
      </c>
      <c r="C414" s="13"/>
      <c r="D414" s="13" t="s">
        <v>811</v>
      </c>
      <c r="E414" s="13" t="s">
        <v>721</v>
      </c>
      <c r="F414" s="16">
        <v>0.22389999999999999</v>
      </c>
      <c r="G414" s="13" t="s">
        <v>722</v>
      </c>
      <c r="H414" s="13" t="s">
        <v>723</v>
      </c>
      <c r="I414" s="13"/>
      <c r="J414" s="13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  <c r="AI414" s="14"/>
      <c r="AJ414" s="14"/>
      <c r="AK414" s="14"/>
      <c r="AL414" s="14"/>
      <c r="AM414" s="14"/>
      <c r="AN414" s="14"/>
      <c r="AO414" s="14"/>
    </row>
    <row r="415" spans="1:41" ht="20" hidden="1" customHeight="1" outlineLevel="1">
      <c r="A415" s="10" t="s">
        <v>661</v>
      </c>
      <c r="B415" s="13" t="s">
        <v>812</v>
      </c>
      <c r="C415" s="13"/>
      <c r="D415" s="13" t="s">
        <v>813</v>
      </c>
      <c r="E415" s="13" t="s">
        <v>721</v>
      </c>
      <c r="F415" s="16">
        <v>0.2339</v>
      </c>
      <c r="G415" s="13" t="s">
        <v>722</v>
      </c>
      <c r="H415" s="13" t="s">
        <v>723</v>
      </c>
      <c r="I415" s="13"/>
      <c r="J415" s="13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  <c r="AI415" s="14"/>
      <c r="AJ415" s="14"/>
      <c r="AK415" s="14"/>
      <c r="AL415" s="14"/>
      <c r="AM415" s="14"/>
      <c r="AN415" s="14"/>
      <c r="AO415" s="14"/>
    </row>
    <row r="416" spans="1:41" ht="20" hidden="1" customHeight="1" outlineLevel="1">
      <c r="A416" s="10" t="s">
        <v>661</v>
      </c>
      <c r="B416" s="13" t="s">
        <v>814</v>
      </c>
      <c r="C416" s="13"/>
      <c r="D416" s="13" t="s">
        <v>815</v>
      </c>
      <c r="E416" s="13" t="s">
        <v>721</v>
      </c>
      <c r="F416" s="16">
        <v>0.24390000000000001</v>
      </c>
      <c r="G416" s="13" t="s">
        <v>722</v>
      </c>
      <c r="H416" s="13" t="s">
        <v>723</v>
      </c>
      <c r="I416" s="13"/>
      <c r="J416" s="13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  <c r="AI416" s="14"/>
      <c r="AJ416" s="14"/>
      <c r="AK416" s="14"/>
      <c r="AL416" s="14"/>
      <c r="AM416" s="14"/>
      <c r="AN416" s="14"/>
      <c r="AO416" s="14"/>
    </row>
    <row r="417" spans="1:41" ht="20" hidden="1" customHeight="1" outlineLevel="1">
      <c r="A417" s="10" t="s">
        <v>661</v>
      </c>
      <c r="B417" s="13" t="s">
        <v>816</v>
      </c>
      <c r="C417" s="13"/>
      <c r="D417" s="13" t="s">
        <v>817</v>
      </c>
      <c r="E417" s="13" t="s">
        <v>721</v>
      </c>
      <c r="F417" s="16">
        <v>0.25390000000000001</v>
      </c>
      <c r="G417" s="13" t="s">
        <v>722</v>
      </c>
      <c r="H417" s="13" t="s">
        <v>723</v>
      </c>
      <c r="I417" s="13"/>
      <c r="J417" s="13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  <c r="AI417" s="14"/>
      <c r="AJ417" s="14"/>
      <c r="AK417" s="14"/>
      <c r="AL417" s="14"/>
      <c r="AM417" s="14"/>
      <c r="AN417" s="14"/>
      <c r="AO417" s="14"/>
    </row>
    <row r="418" spans="1:41" ht="20" hidden="1" customHeight="1" outlineLevel="1">
      <c r="A418" s="10" t="s">
        <v>661</v>
      </c>
      <c r="B418" s="13" t="s">
        <v>818</v>
      </c>
      <c r="C418" s="13"/>
      <c r="D418" s="13" t="s">
        <v>819</v>
      </c>
      <c r="E418" s="13" t="s">
        <v>721</v>
      </c>
      <c r="F418" s="16">
        <v>0.26390000000000002</v>
      </c>
      <c r="G418" s="13" t="s">
        <v>722</v>
      </c>
      <c r="H418" s="13" t="s">
        <v>723</v>
      </c>
      <c r="I418" s="13"/>
      <c r="J418" s="13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  <c r="AI418" s="14"/>
      <c r="AJ418" s="14"/>
      <c r="AK418" s="14"/>
      <c r="AL418" s="14"/>
      <c r="AM418" s="14"/>
      <c r="AN418" s="14"/>
      <c r="AO418" s="14"/>
    </row>
    <row r="419" spans="1:41" ht="20" hidden="1" customHeight="1" outlineLevel="1">
      <c r="A419" s="10" t="s">
        <v>661</v>
      </c>
      <c r="B419" s="13" t="s">
        <v>820</v>
      </c>
      <c r="C419" s="13"/>
      <c r="D419" s="13" t="s">
        <v>821</v>
      </c>
      <c r="E419" s="13" t="s">
        <v>721</v>
      </c>
      <c r="F419" s="16">
        <v>0.27389999999999998</v>
      </c>
      <c r="G419" s="13" t="s">
        <v>722</v>
      </c>
      <c r="H419" s="13" t="s">
        <v>723</v>
      </c>
      <c r="I419" s="13"/>
      <c r="J419" s="13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  <c r="AI419" s="14"/>
      <c r="AJ419" s="14"/>
      <c r="AK419" s="14"/>
      <c r="AL419" s="14"/>
      <c r="AM419" s="14"/>
      <c r="AN419" s="14"/>
      <c r="AO419" s="14"/>
    </row>
    <row r="420" spans="1:41" ht="20" hidden="1" customHeight="1" outlineLevel="1">
      <c r="A420" s="10" t="s">
        <v>661</v>
      </c>
      <c r="B420" s="13" t="s">
        <v>822</v>
      </c>
      <c r="C420" s="13"/>
      <c r="D420" s="13" t="s">
        <v>823</v>
      </c>
      <c r="E420" s="13" t="s">
        <v>721</v>
      </c>
      <c r="F420" s="16">
        <v>0.28389999999999999</v>
      </c>
      <c r="G420" s="13" t="s">
        <v>722</v>
      </c>
      <c r="H420" s="13" t="s">
        <v>723</v>
      </c>
      <c r="I420" s="13"/>
      <c r="J420" s="13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  <c r="AI420" s="14"/>
      <c r="AJ420" s="14"/>
      <c r="AK420" s="14"/>
      <c r="AL420" s="14"/>
      <c r="AM420" s="14"/>
      <c r="AN420" s="14"/>
      <c r="AO420" s="14"/>
    </row>
    <row r="421" spans="1:41" ht="20" hidden="1" customHeight="1" outlineLevel="1">
      <c r="A421" s="10" t="s">
        <v>661</v>
      </c>
      <c r="B421" s="13" t="s">
        <v>824</v>
      </c>
      <c r="C421" s="13"/>
      <c r="D421" s="13" t="s">
        <v>825</v>
      </c>
      <c r="E421" s="13" t="s">
        <v>721</v>
      </c>
      <c r="F421" s="16">
        <v>0.29380000000000001</v>
      </c>
      <c r="G421" s="13" t="s">
        <v>722</v>
      </c>
      <c r="H421" s="13" t="s">
        <v>723</v>
      </c>
      <c r="I421" s="13"/>
      <c r="J421" s="13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  <c r="AI421" s="14"/>
      <c r="AJ421" s="14"/>
      <c r="AK421" s="14"/>
      <c r="AL421" s="14"/>
      <c r="AM421" s="14"/>
      <c r="AN421" s="14"/>
      <c r="AO421" s="14"/>
    </row>
    <row r="422" spans="1:41" ht="20" hidden="1" customHeight="1" outlineLevel="1">
      <c r="A422" s="10" t="s">
        <v>661</v>
      </c>
      <c r="B422" s="13" t="s">
        <v>826</v>
      </c>
      <c r="C422" s="13"/>
      <c r="D422" s="13" t="s">
        <v>827</v>
      </c>
      <c r="E422" s="13" t="s">
        <v>721</v>
      </c>
      <c r="F422" s="16">
        <v>0.30380000000000001</v>
      </c>
      <c r="G422" s="13" t="s">
        <v>722</v>
      </c>
      <c r="H422" s="13" t="s">
        <v>723</v>
      </c>
      <c r="I422" s="13"/>
      <c r="J422" s="13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  <c r="AI422" s="14"/>
      <c r="AJ422" s="14"/>
      <c r="AK422" s="14"/>
      <c r="AL422" s="14"/>
      <c r="AM422" s="14"/>
      <c r="AN422" s="14"/>
      <c r="AO422" s="14"/>
    </row>
    <row r="423" spans="1:41" ht="20" hidden="1" customHeight="1" outlineLevel="1">
      <c r="A423" s="10" t="s">
        <v>661</v>
      </c>
      <c r="B423" s="13" t="s">
        <v>828</v>
      </c>
      <c r="C423" s="13"/>
      <c r="D423" s="13" t="s">
        <v>829</v>
      </c>
      <c r="E423" s="13" t="s">
        <v>721</v>
      </c>
      <c r="F423" s="16">
        <v>0.31380000000000002</v>
      </c>
      <c r="G423" s="13" t="s">
        <v>722</v>
      </c>
      <c r="H423" s="13" t="s">
        <v>723</v>
      </c>
      <c r="I423" s="13"/>
      <c r="J423" s="13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  <c r="AI423" s="14"/>
      <c r="AJ423" s="14"/>
      <c r="AK423" s="14"/>
      <c r="AL423" s="14"/>
      <c r="AM423" s="14"/>
      <c r="AN423" s="14"/>
      <c r="AO423" s="14"/>
    </row>
    <row r="424" spans="1:41" ht="20" hidden="1" customHeight="1" outlineLevel="1">
      <c r="A424" s="10" t="s">
        <v>661</v>
      </c>
      <c r="B424" s="13" t="s">
        <v>830</v>
      </c>
      <c r="C424" s="13"/>
      <c r="D424" s="13" t="s">
        <v>831</v>
      </c>
      <c r="E424" s="13" t="s">
        <v>721</v>
      </c>
      <c r="F424" s="16">
        <v>0.32379999999999998</v>
      </c>
      <c r="G424" s="13" t="s">
        <v>722</v>
      </c>
      <c r="H424" s="13" t="s">
        <v>723</v>
      </c>
      <c r="I424" s="13"/>
      <c r="J424" s="13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  <c r="AI424" s="14"/>
      <c r="AJ424" s="14"/>
      <c r="AK424" s="14"/>
      <c r="AL424" s="14"/>
      <c r="AM424" s="14"/>
      <c r="AN424" s="14"/>
      <c r="AO424" s="14"/>
    </row>
    <row r="425" spans="1:41" ht="20" hidden="1" customHeight="1" outlineLevel="1">
      <c r="A425" s="10" t="s">
        <v>661</v>
      </c>
      <c r="B425" s="13" t="s">
        <v>832</v>
      </c>
      <c r="C425" s="13"/>
      <c r="D425" s="13" t="s">
        <v>833</v>
      </c>
      <c r="E425" s="13" t="s">
        <v>721</v>
      </c>
      <c r="F425" s="16">
        <v>0.33379999999999999</v>
      </c>
      <c r="G425" s="13" t="s">
        <v>722</v>
      </c>
      <c r="H425" s="13" t="s">
        <v>723</v>
      </c>
      <c r="I425" s="13"/>
      <c r="J425" s="13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  <c r="AI425" s="14"/>
      <c r="AJ425" s="14"/>
      <c r="AK425" s="14"/>
      <c r="AL425" s="14"/>
      <c r="AM425" s="14"/>
      <c r="AN425" s="14"/>
      <c r="AO425" s="14"/>
    </row>
    <row r="426" spans="1:41" ht="20" hidden="1" customHeight="1" outlineLevel="1">
      <c r="A426" s="10" t="s">
        <v>661</v>
      </c>
      <c r="B426" s="13" t="s">
        <v>834</v>
      </c>
      <c r="C426" s="13"/>
      <c r="D426" s="13" t="s">
        <v>835</v>
      </c>
      <c r="E426" s="13" t="s">
        <v>721</v>
      </c>
      <c r="F426" s="16">
        <v>0.34379999999999999</v>
      </c>
      <c r="G426" s="13" t="s">
        <v>722</v>
      </c>
      <c r="H426" s="13" t="s">
        <v>723</v>
      </c>
      <c r="I426" s="13"/>
      <c r="J426" s="13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  <c r="AI426" s="14"/>
      <c r="AJ426" s="14"/>
      <c r="AK426" s="14"/>
      <c r="AL426" s="14"/>
      <c r="AM426" s="14"/>
      <c r="AN426" s="14"/>
      <c r="AO426" s="14"/>
    </row>
    <row r="427" spans="1:41" ht="20" hidden="1" customHeight="1" outlineLevel="1">
      <c r="A427" s="10" t="s">
        <v>661</v>
      </c>
      <c r="B427" s="13" t="s">
        <v>836</v>
      </c>
      <c r="C427" s="13"/>
      <c r="D427" s="13" t="s">
        <v>837</v>
      </c>
      <c r="E427" s="13" t="s">
        <v>721</v>
      </c>
      <c r="F427" s="16">
        <v>0.3538</v>
      </c>
      <c r="G427" s="13" t="s">
        <v>722</v>
      </c>
      <c r="H427" s="13" t="s">
        <v>723</v>
      </c>
      <c r="I427" s="13"/>
      <c r="J427" s="13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  <c r="AI427" s="14"/>
      <c r="AJ427" s="14"/>
      <c r="AK427" s="14"/>
      <c r="AL427" s="14"/>
      <c r="AM427" s="14"/>
      <c r="AN427" s="14"/>
      <c r="AO427" s="14"/>
    </row>
    <row r="428" spans="1:41" ht="20" hidden="1" customHeight="1" outlineLevel="1">
      <c r="A428" s="10" t="s">
        <v>661</v>
      </c>
      <c r="B428" s="13" t="s">
        <v>838</v>
      </c>
      <c r="C428" s="13"/>
      <c r="D428" s="13" t="s">
        <v>839</v>
      </c>
      <c r="E428" s="13" t="s">
        <v>721</v>
      </c>
      <c r="F428" s="16">
        <v>0.36380000000000001</v>
      </c>
      <c r="G428" s="13" t="s">
        <v>722</v>
      </c>
      <c r="H428" s="13" t="s">
        <v>723</v>
      </c>
      <c r="I428" s="13"/>
      <c r="J428" s="13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  <c r="AI428" s="14"/>
      <c r="AJ428" s="14"/>
      <c r="AK428" s="14"/>
      <c r="AL428" s="14"/>
      <c r="AM428" s="14"/>
      <c r="AN428" s="14"/>
      <c r="AO428" s="14"/>
    </row>
    <row r="429" spans="1:41" ht="20" hidden="1" customHeight="1" outlineLevel="1">
      <c r="A429" s="10" t="s">
        <v>661</v>
      </c>
      <c r="B429" s="13" t="s">
        <v>840</v>
      </c>
      <c r="C429" s="13"/>
      <c r="D429" s="13" t="s">
        <v>841</v>
      </c>
      <c r="E429" s="13" t="s">
        <v>721</v>
      </c>
      <c r="F429" s="16">
        <v>0.37369999999999998</v>
      </c>
      <c r="G429" s="13" t="s">
        <v>722</v>
      </c>
      <c r="H429" s="13" t="s">
        <v>723</v>
      </c>
      <c r="I429" s="13"/>
      <c r="J429" s="13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  <c r="AI429" s="14"/>
      <c r="AJ429" s="14"/>
      <c r="AK429" s="14"/>
      <c r="AL429" s="14"/>
      <c r="AM429" s="14"/>
      <c r="AN429" s="14"/>
      <c r="AO429" s="14"/>
    </row>
    <row r="430" spans="1:41" ht="20" hidden="1" customHeight="1" outlineLevel="1">
      <c r="A430" s="10" t="s">
        <v>661</v>
      </c>
      <c r="B430" s="13" t="s">
        <v>842</v>
      </c>
      <c r="C430" s="13"/>
      <c r="D430" s="13" t="s">
        <v>843</v>
      </c>
      <c r="E430" s="13" t="s">
        <v>721</v>
      </c>
      <c r="F430" s="16">
        <v>0.1017</v>
      </c>
      <c r="G430" s="13" t="s">
        <v>722</v>
      </c>
      <c r="H430" s="13" t="s">
        <v>723</v>
      </c>
      <c r="I430" s="13"/>
      <c r="J430" s="13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  <c r="AI430" s="14"/>
      <c r="AJ430" s="14"/>
      <c r="AK430" s="14"/>
      <c r="AL430" s="14"/>
      <c r="AM430" s="14"/>
      <c r="AN430" s="14"/>
      <c r="AO430" s="14"/>
    </row>
    <row r="431" spans="1:41" ht="20" hidden="1" customHeight="1" outlineLevel="1">
      <c r="A431" s="10" t="s">
        <v>661</v>
      </c>
      <c r="B431" s="13" t="s">
        <v>844</v>
      </c>
      <c r="C431" s="13"/>
      <c r="D431" s="13" t="s">
        <v>845</v>
      </c>
      <c r="E431" s="13" t="s">
        <v>721</v>
      </c>
      <c r="F431" s="16">
        <v>0.11409999999999999</v>
      </c>
      <c r="G431" s="13" t="s">
        <v>722</v>
      </c>
      <c r="H431" s="13" t="s">
        <v>723</v>
      </c>
      <c r="I431" s="13"/>
      <c r="J431" s="13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  <c r="AI431" s="14"/>
      <c r="AJ431" s="14"/>
      <c r="AK431" s="14"/>
      <c r="AL431" s="14"/>
      <c r="AM431" s="14"/>
      <c r="AN431" s="14"/>
      <c r="AO431" s="14"/>
    </row>
    <row r="432" spans="1:41" ht="20" hidden="1" customHeight="1" outlineLevel="1">
      <c r="A432" s="10" t="s">
        <v>661</v>
      </c>
      <c r="B432" s="13" t="s">
        <v>846</v>
      </c>
      <c r="C432" s="13"/>
      <c r="D432" s="13" t="s">
        <v>847</v>
      </c>
      <c r="E432" s="13" t="s">
        <v>721</v>
      </c>
      <c r="F432" s="16">
        <v>0.12640000000000001</v>
      </c>
      <c r="G432" s="13" t="s">
        <v>722</v>
      </c>
      <c r="H432" s="13" t="s">
        <v>723</v>
      </c>
      <c r="I432" s="13"/>
      <c r="J432" s="13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  <c r="AI432" s="14"/>
      <c r="AJ432" s="14"/>
      <c r="AK432" s="14"/>
      <c r="AL432" s="14"/>
      <c r="AM432" s="14"/>
      <c r="AN432" s="14"/>
      <c r="AO432" s="14"/>
    </row>
    <row r="433" spans="1:41" ht="20" hidden="1" customHeight="1" outlineLevel="1">
      <c r="A433" s="10" t="s">
        <v>661</v>
      </c>
      <c r="B433" s="13" t="s">
        <v>848</v>
      </c>
      <c r="C433" s="13"/>
      <c r="D433" s="13" t="s">
        <v>849</v>
      </c>
      <c r="E433" s="13" t="s">
        <v>721</v>
      </c>
      <c r="F433" s="16">
        <v>0.13869999999999999</v>
      </c>
      <c r="G433" s="13" t="s">
        <v>722</v>
      </c>
      <c r="H433" s="13" t="s">
        <v>723</v>
      </c>
      <c r="I433" s="13"/>
      <c r="J433" s="13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  <c r="AI433" s="14"/>
      <c r="AJ433" s="14"/>
      <c r="AK433" s="14"/>
      <c r="AL433" s="14"/>
      <c r="AM433" s="14"/>
      <c r="AN433" s="14"/>
      <c r="AO433" s="14"/>
    </row>
    <row r="434" spans="1:41" ht="20" hidden="1" customHeight="1" outlineLevel="1">
      <c r="A434" s="10" t="s">
        <v>661</v>
      </c>
      <c r="B434" s="13" t="s">
        <v>850</v>
      </c>
      <c r="C434" s="13"/>
      <c r="D434" s="13" t="s">
        <v>851</v>
      </c>
      <c r="E434" s="13" t="s">
        <v>721</v>
      </c>
      <c r="F434" s="16">
        <v>0.15110000000000001</v>
      </c>
      <c r="G434" s="13" t="s">
        <v>722</v>
      </c>
      <c r="H434" s="13" t="s">
        <v>723</v>
      </c>
      <c r="I434" s="13"/>
      <c r="J434" s="13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  <c r="AI434" s="14"/>
      <c r="AJ434" s="14"/>
      <c r="AK434" s="14"/>
      <c r="AL434" s="14"/>
      <c r="AM434" s="14"/>
      <c r="AN434" s="14"/>
      <c r="AO434" s="14"/>
    </row>
    <row r="435" spans="1:41" ht="20" hidden="1" customHeight="1" outlineLevel="1">
      <c r="A435" s="10" t="s">
        <v>661</v>
      </c>
      <c r="B435" s="13" t="s">
        <v>852</v>
      </c>
      <c r="C435" s="13"/>
      <c r="D435" s="13" t="s">
        <v>853</v>
      </c>
      <c r="E435" s="13" t="s">
        <v>721</v>
      </c>
      <c r="F435" s="16">
        <v>0.16339999999999999</v>
      </c>
      <c r="G435" s="13" t="s">
        <v>722</v>
      </c>
      <c r="H435" s="13" t="s">
        <v>723</v>
      </c>
      <c r="I435" s="13"/>
      <c r="J435" s="13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  <c r="AI435" s="14"/>
      <c r="AJ435" s="14"/>
      <c r="AK435" s="14"/>
      <c r="AL435" s="14"/>
      <c r="AM435" s="14"/>
      <c r="AN435" s="14"/>
      <c r="AO435" s="14"/>
    </row>
    <row r="436" spans="1:41" ht="20" hidden="1" customHeight="1" outlineLevel="1">
      <c r="A436" s="10" t="s">
        <v>661</v>
      </c>
      <c r="B436" s="13" t="s">
        <v>854</v>
      </c>
      <c r="C436" s="13"/>
      <c r="D436" s="13" t="s">
        <v>855</v>
      </c>
      <c r="E436" s="13" t="s">
        <v>721</v>
      </c>
      <c r="F436" s="16">
        <v>0.1757</v>
      </c>
      <c r="G436" s="13" t="s">
        <v>722</v>
      </c>
      <c r="H436" s="13" t="s">
        <v>723</v>
      </c>
      <c r="I436" s="13"/>
      <c r="J436" s="13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  <c r="AI436" s="14"/>
      <c r="AJ436" s="14"/>
      <c r="AK436" s="14"/>
      <c r="AL436" s="14"/>
      <c r="AM436" s="14"/>
      <c r="AN436" s="14"/>
      <c r="AO436" s="14"/>
    </row>
    <row r="437" spans="1:41" ht="20" hidden="1" customHeight="1" outlineLevel="1">
      <c r="A437" s="10" t="s">
        <v>661</v>
      </c>
      <c r="B437" s="13" t="s">
        <v>856</v>
      </c>
      <c r="C437" s="13"/>
      <c r="D437" s="13" t="s">
        <v>857</v>
      </c>
      <c r="E437" s="13" t="s">
        <v>721</v>
      </c>
      <c r="F437" s="16">
        <v>0.188</v>
      </c>
      <c r="G437" s="13" t="s">
        <v>722</v>
      </c>
      <c r="H437" s="13" t="s">
        <v>723</v>
      </c>
      <c r="I437" s="13"/>
      <c r="J437" s="13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  <c r="AI437" s="14"/>
      <c r="AJ437" s="14"/>
      <c r="AK437" s="14"/>
      <c r="AL437" s="14"/>
      <c r="AM437" s="14"/>
      <c r="AN437" s="14"/>
      <c r="AO437" s="14"/>
    </row>
    <row r="438" spans="1:41" ht="20" hidden="1" customHeight="1" outlineLevel="1">
      <c r="A438" s="10" t="s">
        <v>661</v>
      </c>
      <c r="B438" s="13" t="s">
        <v>858</v>
      </c>
      <c r="C438" s="13"/>
      <c r="D438" s="13" t="s">
        <v>859</v>
      </c>
      <c r="E438" s="13" t="s">
        <v>721</v>
      </c>
      <c r="F438" s="16">
        <v>0.20039999999999999</v>
      </c>
      <c r="G438" s="13" t="s">
        <v>722</v>
      </c>
      <c r="H438" s="13" t="s">
        <v>723</v>
      </c>
      <c r="I438" s="13"/>
      <c r="J438" s="13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  <c r="AI438" s="14"/>
      <c r="AJ438" s="14"/>
      <c r="AK438" s="14"/>
      <c r="AL438" s="14"/>
      <c r="AM438" s="14"/>
      <c r="AN438" s="14"/>
      <c r="AO438" s="14"/>
    </row>
    <row r="439" spans="1:41" ht="20" hidden="1" customHeight="1" outlineLevel="1">
      <c r="A439" s="10" t="s">
        <v>661</v>
      </c>
      <c r="B439" s="13" t="s">
        <v>860</v>
      </c>
      <c r="C439" s="13"/>
      <c r="D439" s="13" t="s">
        <v>861</v>
      </c>
      <c r="E439" s="13" t="s">
        <v>721</v>
      </c>
      <c r="F439" s="16">
        <v>0.2127</v>
      </c>
      <c r="G439" s="13" t="s">
        <v>722</v>
      </c>
      <c r="H439" s="13" t="s">
        <v>723</v>
      </c>
      <c r="I439" s="13"/>
      <c r="J439" s="13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  <c r="AI439" s="14"/>
      <c r="AJ439" s="14"/>
      <c r="AK439" s="14"/>
      <c r="AL439" s="14"/>
      <c r="AM439" s="14"/>
      <c r="AN439" s="14"/>
      <c r="AO439" s="14"/>
    </row>
    <row r="440" spans="1:41" ht="20" hidden="1" customHeight="1" outlineLevel="1">
      <c r="A440" s="10" t="s">
        <v>661</v>
      </c>
      <c r="B440" s="13" t="s">
        <v>862</v>
      </c>
      <c r="C440" s="13"/>
      <c r="D440" s="13" t="s">
        <v>863</v>
      </c>
      <c r="E440" s="13" t="s">
        <v>721</v>
      </c>
      <c r="F440" s="16">
        <v>0.22500000000000001</v>
      </c>
      <c r="G440" s="13" t="s">
        <v>722</v>
      </c>
      <c r="H440" s="13" t="s">
        <v>723</v>
      </c>
      <c r="I440" s="13"/>
      <c r="J440" s="13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  <c r="AI440" s="14"/>
      <c r="AJ440" s="14"/>
      <c r="AK440" s="14"/>
      <c r="AL440" s="14"/>
      <c r="AM440" s="14"/>
      <c r="AN440" s="14"/>
      <c r="AO440" s="14"/>
    </row>
    <row r="441" spans="1:41" ht="20" hidden="1" customHeight="1" outlineLevel="1">
      <c r="A441" s="10" t="s">
        <v>661</v>
      </c>
      <c r="B441" s="13" t="s">
        <v>864</v>
      </c>
      <c r="C441" s="13"/>
      <c r="D441" s="13" t="s">
        <v>865</v>
      </c>
      <c r="E441" s="13" t="s">
        <v>721</v>
      </c>
      <c r="F441" s="16">
        <v>0.2374</v>
      </c>
      <c r="G441" s="13" t="s">
        <v>722</v>
      </c>
      <c r="H441" s="13" t="s">
        <v>723</v>
      </c>
      <c r="I441" s="13"/>
      <c r="J441" s="13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  <c r="AI441" s="14"/>
      <c r="AJ441" s="14"/>
      <c r="AK441" s="14"/>
      <c r="AL441" s="14"/>
      <c r="AM441" s="14"/>
      <c r="AN441" s="14"/>
      <c r="AO441" s="14"/>
    </row>
    <row r="442" spans="1:41" ht="20" hidden="1" customHeight="1" outlineLevel="1">
      <c r="A442" s="10" t="s">
        <v>661</v>
      </c>
      <c r="B442" s="13" t="s">
        <v>866</v>
      </c>
      <c r="C442" s="13"/>
      <c r="D442" s="13" t="s">
        <v>867</v>
      </c>
      <c r="E442" s="13" t="s">
        <v>721</v>
      </c>
      <c r="F442" s="16">
        <v>0.24970000000000001</v>
      </c>
      <c r="G442" s="13" t="s">
        <v>722</v>
      </c>
      <c r="H442" s="13" t="s">
        <v>723</v>
      </c>
      <c r="I442" s="13"/>
      <c r="J442" s="13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  <c r="AI442" s="14"/>
      <c r="AJ442" s="14"/>
      <c r="AK442" s="14"/>
      <c r="AL442" s="14"/>
      <c r="AM442" s="14"/>
      <c r="AN442" s="14"/>
      <c r="AO442" s="14"/>
    </row>
    <row r="443" spans="1:41" ht="20" hidden="1" customHeight="1" outlineLevel="1">
      <c r="A443" s="10" t="s">
        <v>661</v>
      </c>
      <c r="B443" s="13" t="s">
        <v>868</v>
      </c>
      <c r="C443" s="13"/>
      <c r="D443" s="13" t="s">
        <v>869</v>
      </c>
      <c r="E443" s="13" t="s">
        <v>721</v>
      </c>
      <c r="F443" s="16">
        <v>0.26200000000000001</v>
      </c>
      <c r="G443" s="13" t="s">
        <v>722</v>
      </c>
      <c r="H443" s="13" t="s">
        <v>723</v>
      </c>
      <c r="I443" s="13"/>
      <c r="J443" s="13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  <c r="AI443" s="14"/>
      <c r="AJ443" s="14"/>
      <c r="AK443" s="14"/>
      <c r="AL443" s="14"/>
      <c r="AM443" s="14"/>
      <c r="AN443" s="14"/>
      <c r="AO443" s="14"/>
    </row>
    <row r="444" spans="1:41" ht="20" hidden="1" customHeight="1" outlineLevel="1">
      <c r="A444" s="10" t="s">
        <v>661</v>
      </c>
      <c r="B444" s="13" t="s">
        <v>870</v>
      </c>
      <c r="C444" s="13"/>
      <c r="D444" s="13" t="s">
        <v>871</v>
      </c>
      <c r="E444" s="13" t="s">
        <v>721</v>
      </c>
      <c r="F444" s="16">
        <v>5.2400000000000002E-2</v>
      </c>
      <c r="G444" s="13" t="s">
        <v>722</v>
      </c>
      <c r="H444" s="13" t="s">
        <v>723</v>
      </c>
      <c r="I444" s="13"/>
      <c r="J444" s="13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  <c r="AI444" s="14"/>
      <c r="AJ444" s="14"/>
      <c r="AK444" s="14"/>
      <c r="AL444" s="14"/>
      <c r="AM444" s="14"/>
      <c r="AN444" s="14"/>
      <c r="AO444" s="14"/>
    </row>
    <row r="445" spans="1:41" ht="20" hidden="1" customHeight="1" outlineLevel="1">
      <c r="A445" s="10" t="s">
        <v>661</v>
      </c>
      <c r="B445" s="13" t="s">
        <v>872</v>
      </c>
      <c r="C445" s="13"/>
      <c r="D445" s="13" t="s">
        <v>873</v>
      </c>
      <c r="E445" s="13" t="s">
        <v>721</v>
      </c>
      <c r="F445" s="16">
        <v>5.2400000000000002E-2</v>
      </c>
      <c r="G445" s="13" t="s">
        <v>722</v>
      </c>
      <c r="H445" s="13" t="s">
        <v>723</v>
      </c>
      <c r="I445" s="13"/>
      <c r="J445" s="13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  <c r="AI445" s="14"/>
      <c r="AJ445" s="14"/>
      <c r="AK445" s="14"/>
      <c r="AL445" s="14"/>
      <c r="AM445" s="14"/>
      <c r="AN445" s="14"/>
      <c r="AO445" s="14"/>
    </row>
    <row r="446" spans="1:41" ht="20" hidden="1" customHeight="1" outlineLevel="1">
      <c r="A446" s="10" t="s">
        <v>661</v>
      </c>
      <c r="B446" s="13" t="s">
        <v>874</v>
      </c>
      <c r="C446" s="13"/>
      <c r="D446" s="13" t="s">
        <v>875</v>
      </c>
      <c r="E446" s="13" t="s">
        <v>721</v>
      </c>
      <c r="F446" s="16">
        <v>5.4899999999999997E-2</v>
      </c>
      <c r="G446" s="13" t="s">
        <v>722</v>
      </c>
      <c r="H446" s="13" t="s">
        <v>723</v>
      </c>
      <c r="I446" s="13"/>
      <c r="J446" s="13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  <c r="AI446" s="14"/>
      <c r="AJ446" s="14"/>
      <c r="AK446" s="14"/>
      <c r="AL446" s="14"/>
      <c r="AM446" s="14"/>
      <c r="AN446" s="14"/>
      <c r="AO446" s="14"/>
    </row>
    <row r="447" spans="1:41" ht="20" hidden="1" customHeight="1" outlineLevel="1">
      <c r="A447" s="10" t="s">
        <v>661</v>
      </c>
      <c r="B447" s="13" t="s">
        <v>876</v>
      </c>
      <c r="C447" s="13"/>
      <c r="D447" s="13" t="s">
        <v>877</v>
      </c>
      <c r="E447" s="13" t="s">
        <v>721</v>
      </c>
      <c r="F447" s="16">
        <v>5.4899999999999997E-2</v>
      </c>
      <c r="G447" s="13" t="s">
        <v>722</v>
      </c>
      <c r="H447" s="13" t="s">
        <v>723</v>
      </c>
      <c r="I447" s="13"/>
      <c r="J447" s="13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  <c r="AI447" s="14"/>
      <c r="AJ447" s="14"/>
      <c r="AK447" s="14"/>
      <c r="AL447" s="14"/>
      <c r="AM447" s="14"/>
      <c r="AN447" s="14"/>
      <c r="AO447" s="14"/>
    </row>
    <row r="448" spans="1:41" ht="20" hidden="1" customHeight="1" outlineLevel="1">
      <c r="A448" s="10" t="s">
        <v>661</v>
      </c>
      <c r="B448" s="13" t="s">
        <v>878</v>
      </c>
      <c r="C448" s="13"/>
      <c r="D448" s="13" t="s">
        <v>879</v>
      </c>
      <c r="E448" s="13" t="s">
        <v>721</v>
      </c>
      <c r="F448" s="16">
        <v>5.7299999999999997E-2</v>
      </c>
      <c r="G448" s="13" t="s">
        <v>722</v>
      </c>
      <c r="H448" s="13" t="s">
        <v>723</v>
      </c>
      <c r="I448" s="13"/>
      <c r="J448" s="13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  <c r="AI448" s="14"/>
      <c r="AJ448" s="14"/>
      <c r="AK448" s="14"/>
      <c r="AL448" s="14"/>
      <c r="AM448" s="14"/>
      <c r="AN448" s="14"/>
      <c r="AO448" s="14"/>
    </row>
    <row r="449" spans="1:41" ht="20" hidden="1" customHeight="1" outlineLevel="1">
      <c r="A449" s="10" t="s">
        <v>661</v>
      </c>
      <c r="B449" s="13" t="s">
        <v>880</v>
      </c>
      <c r="C449" s="13"/>
      <c r="D449" s="13" t="s">
        <v>881</v>
      </c>
      <c r="E449" s="13" t="s">
        <v>721</v>
      </c>
      <c r="F449" s="16">
        <v>5.7299999999999997E-2</v>
      </c>
      <c r="G449" s="13" t="s">
        <v>722</v>
      </c>
      <c r="H449" s="13" t="s">
        <v>723</v>
      </c>
      <c r="I449" s="13"/>
      <c r="J449" s="13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  <c r="AI449" s="14"/>
      <c r="AJ449" s="14"/>
      <c r="AK449" s="14"/>
      <c r="AL449" s="14"/>
      <c r="AM449" s="14"/>
      <c r="AN449" s="14"/>
      <c r="AO449" s="14"/>
    </row>
    <row r="450" spans="1:41" ht="20" hidden="1" customHeight="1" outlineLevel="1">
      <c r="A450" s="10" t="s">
        <v>661</v>
      </c>
      <c r="B450" s="13" t="s">
        <v>882</v>
      </c>
      <c r="C450" s="13"/>
      <c r="D450" s="13" t="s">
        <v>883</v>
      </c>
      <c r="E450" s="13" t="s">
        <v>721</v>
      </c>
      <c r="F450" s="16">
        <v>5.9799999999999999E-2</v>
      </c>
      <c r="G450" s="13" t="s">
        <v>722</v>
      </c>
      <c r="H450" s="13" t="s">
        <v>723</v>
      </c>
      <c r="I450" s="13"/>
      <c r="J450" s="13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  <c r="AI450" s="14"/>
      <c r="AJ450" s="14"/>
      <c r="AK450" s="14"/>
      <c r="AL450" s="14"/>
      <c r="AM450" s="14"/>
      <c r="AN450" s="14"/>
      <c r="AO450" s="14"/>
    </row>
    <row r="451" spans="1:41" ht="20" hidden="1" customHeight="1" outlineLevel="1">
      <c r="A451" s="10" t="s">
        <v>661</v>
      </c>
      <c r="B451" s="13" t="s">
        <v>884</v>
      </c>
      <c r="C451" s="13"/>
      <c r="D451" s="13" t="s">
        <v>885</v>
      </c>
      <c r="E451" s="13" t="s">
        <v>721</v>
      </c>
      <c r="F451" s="16">
        <v>5.9799999999999999E-2</v>
      </c>
      <c r="G451" s="13" t="s">
        <v>722</v>
      </c>
      <c r="H451" s="13" t="s">
        <v>723</v>
      </c>
      <c r="I451" s="13"/>
      <c r="J451" s="13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  <c r="AI451" s="14"/>
      <c r="AJ451" s="14"/>
      <c r="AK451" s="14"/>
      <c r="AL451" s="14"/>
      <c r="AM451" s="14"/>
      <c r="AN451" s="14"/>
      <c r="AO451" s="14"/>
    </row>
    <row r="452" spans="1:41" ht="20" hidden="1" customHeight="1" outlineLevel="1">
      <c r="A452" s="10" t="s">
        <v>661</v>
      </c>
      <c r="B452" s="13" t="s">
        <v>886</v>
      </c>
      <c r="C452" s="13"/>
      <c r="D452" s="13" t="s">
        <v>887</v>
      </c>
      <c r="E452" s="13" t="s">
        <v>721</v>
      </c>
      <c r="F452" s="16">
        <v>6.2300000000000001E-2</v>
      </c>
      <c r="G452" s="13" t="s">
        <v>722</v>
      </c>
      <c r="H452" s="13" t="s">
        <v>723</v>
      </c>
      <c r="I452" s="13"/>
      <c r="J452" s="13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  <c r="AI452" s="14"/>
      <c r="AJ452" s="14"/>
      <c r="AK452" s="14"/>
      <c r="AL452" s="14"/>
      <c r="AM452" s="14"/>
      <c r="AN452" s="14"/>
      <c r="AO452" s="14"/>
    </row>
    <row r="453" spans="1:41" ht="20" hidden="1" customHeight="1" outlineLevel="1">
      <c r="A453" s="10" t="s">
        <v>661</v>
      </c>
      <c r="B453" s="13" t="s">
        <v>888</v>
      </c>
      <c r="C453" s="13"/>
      <c r="D453" s="13" t="s">
        <v>889</v>
      </c>
      <c r="E453" s="13" t="s">
        <v>721</v>
      </c>
      <c r="F453" s="16">
        <v>6.2300000000000001E-2</v>
      </c>
      <c r="G453" s="13" t="s">
        <v>722</v>
      </c>
      <c r="H453" s="13" t="s">
        <v>723</v>
      </c>
      <c r="I453" s="13"/>
      <c r="J453" s="13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  <c r="AI453" s="14"/>
      <c r="AJ453" s="14"/>
      <c r="AK453" s="14"/>
      <c r="AL453" s="14"/>
      <c r="AM453" s="14"/>
      <c r="AN453" s="14"/>
      <c r="AO453" s="14"/>
    </row>
    <row r="454" spans="1:41" ht="20" hidden="1" customHeight="1" outlineLevel="1">
      <c r="A454" s="10" t="s">
        <v>661</v>
      </c>
      <c r="B454" s="13" t="s">
        <v>890</v>
      </c>
      <c r="C454" s="13"/>
      <c r="D454" s="13" t="s">
        <v>891</v>
      </c>
      <c r="E454" s="13" t="s">
        <v>721</v>
      </c>
      <c r="F454" s="16">
        <v>6.4699999999999994E-2</v>
      </c>
      <c r="G454" s="13" t="s">
        <v>722</v>
      </c>
      <c r="H454" s="13" t="s">
        <v>723</v>
      </c>
      <c r="I454" s="13"/>
      <c r="J454" s="13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  <c r="AI454" s="14"/>
      <c r="AJ454" s="14"/>
      <c r="AK454" s="14"/>
      <c r="AL454" s="14"/>
      <c r="AM454" s="14"/>
      <c r="AN454" s="14"/>
      <c r="AO454" s="14"/>
    </row>
    <row r="455" spans="1:41" ht="20" hidden="1" customHeight="1" outlineLevel="1">
      <c r="A455" s="10" t="s">
        <v>661</v>
      </c>
      <c r="B455" s="13" t="s">
        <v>892</v>
      </c>
      <c r="C455" s="13"/>
      <c r="D455" s="13" t="s">
        <v>893</v>
      </c>
      <c r="E455" s="13" t="s">
        <v>721</v>
      </c>
      <c r="F455" s="16">
        <v>6.4699999999999994E-2</v>
      </c>
      <c r="G455" s="13" t="s">
        <v>722</v>
      </c>
      <c r="H455" s="13" t="s">
        <v>723</v>
      </c>
      <c r="I455" s="13"/>
      <c r="J455" s="13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  <c r="AI455" s="14"/>
      <c r="AJ455" s="14"/>
      <c r="AK455" s="14"/>
      <c r="AL455" s="14"/>
      <c r="AM455" s="14"/>
      <c r="AN455" s="14"/>
      <c r="AO455" s="14"/>
    </row>
    <row r="456" spans="1:41" ht="20" hidden="1" customHeight="1" outlineLevel="1">
      <c r="A456" s="10" t="s">
        <v>661</v>
      </c>
      <c r="B456" s="13" t="s">
        <v>894</v>
      </c>
      <c r="C456" s="13"/>
      <c r="D456" s="13" t="s">
        <v>895</v>
      </c>
      <c r="E456" s="13" t="s">
        <v>721</v>
      </c>
      <c r="F456" s="16">
        <v>6.7199999999999996E-2</v>
      </c>
      <c r="G456" s="13" t="s">
        <v>722</v>
      </c>
      <c r="H456" s="13" t="s">
        <v>723</v>
      </c>
      <c r="I456" s="13"/>
      <c r="J456" s="13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  <c r="AI456" s="14"/>
      <c r="AJ456" s="14"/>
      <c r="AK456" s="14"/>
      <c r="AL456" s="14"/>
      <c r="AM456" s="14"/>
      <c r="AN456" s="14"/>
      <c r="AO456" s="14"/>
    </row>
    <row r="457" spans="1:41" ht="20" hidden="1" customHeight="1" outlineLevel="1">
      <c r="A457" s="10" t="s">
        <v>661</v>
      </c>
      <c r="B457" s="13" t="s">
        <v>896</v>
      </c>
      <c r="C457" s="13"/>
      <c r="D457" s="13" t="s">
        <v>897</v>
      </c>
      <c r="E457" s="13" t="s">
        <v>721</v>
      </c>
      <c r="F457" s="16">
        <v>6.7199999999999996E-2</v>
      </c>
      <c r="G457" s="13" t="s">
        <v>722</v>
      </c>
      <c r="H457" s="13" t="s">
        <v>723</v>
      </c>
      <c r="I457" s="13"/>
      <c r="J457" s="13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  <c r="AI457" s="14"/>
      <c r="AJ457" s="14"/>
      <c r="AK457" s="14"/>
      <c r="AL457" s="14"/>
      <c r="AM457" s="14"/>
      <c r="AN457" s="14"/>
      <c r="AO457" s="14"/>
    </row>
    <row r="458" spans="1:41" ht="20" hidden="1" customHeight="1" outlineLevel="1">
      <c r="A458" s="10" t="s">
        <v>661</v>
      </c>
      <c r="B458" s="13" t="s">
        <v>898</v>
      </c>
      <c r="C458" s="13"/>
      <c r="D458" s="13" t="s">
        <v>899</v>
      </c>
      <c r="E458" s="13" t="s">
        <v>721</v>
      </c>
      <c r="F458" s="16">
        <v>6.9699999999999998E-2</v>
      </c>
      <c r="G458" s="13" t="s">
        <v>722</v>
      </c>
      <c r="H458" s="13" t="s">
        <v>723</v>
      </c>
      <c r="I458" s="13"/>
      <c r="J458" s="13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  <c r="AI458" s="14"/>
      <c r="AJ458" s="14"/>
      <c r="AK458" s="14"/>
      <c r="AL458" s="14"/>
      <c r="AM458" s="14"/>
      <c r="AN458" s="14"/>
      <c r="AO458" s="14"/>
    </row>
    <row r="459" spans="1:41" ht="20" hidden="1" customHeight="1" outlineLevel="1">
      <c r="A459" s="10" t="s">
        <v>661</v>
      </c>
      <c r="B459" s="13" t="s">
        <v>900</v>
      </c>
      <c r="C459" s="13"/>
      <c r="D459" s="13" t="s">
        <v>901</v>
      </c>
      <c r="E459" s="13" t="s">
        <v>721</v>
      </c>
      <c r="F459" s="16">
        <v>6.9699999999999998E-2</v>
      </c>
      <c r="G459" s="13" t="s">
        <v>722</v>
      </c>
      <c r="H459" s="13" t="s">
        <v>723</v>
      </c>
      <c r="I459" s="13"/>
      <c r="J459" s="13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  <c r="AI459" s="14"/>
      <c r="AJ459" s="14"/>
      <c r="AK459" s="14"/>
      <c r="AL459" s="14"/>
      <c r="AM459" s="14"/>
      <c r="AN459" s="14"/>
      <c r="AO459" s="14"/>
    </row>
    <row r="460" spans="1:41" ht="20" hidden="1" customHeight="1" outlineLevel="1">
      <c r="A460" s="10" t="s">
        <v>661</v>
      </c>
      <c r="B460" s="13" t="s">
        <v>902</v>
      </c>
      <c r="C460" s="13"/>
      <c r="D460" s="13" t="s">
        <v>903</v>
      </c>
      <c r="E460" s="13" t="s">
        <v>721</v>
      </c>
      <c r="F460" s="16">
        <v>0.1231</v>
      </c>
      <c r="G460" s="13" t="s">
        <v>722</v>
      </c>
      <c r="H460" s="13" t="s">
        <v>723</v>
      </c>
      <c r="I460" s="13"/>
      <c r="J460" s="13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  <c r="AI460" s="14"/>
      <c r="AJ460" s="14"/>
      <c r="AK460" s="14"/>
      <c r="AL460" s="14"/>
      <c r="AM460" s="14"/>
      <c r="AN460" s="14"/>
      <c r="AO460" s="14"/>
    </row>
    <row r="461" spans="1:41" ht="20" hidden="1" customHeight="1" outlineLevel="1">
      <c r="A461" s="10" t="s">
        <v>661</v>
      </c>
      <c r="B461" s="13" t="s">
        <v>904</v>
      </c>
      <c r="C461" s="13"/>
      <c r="D461" s="13" t="s">
        <v>905</v>
      </c>
      <c r="E461" s="13" t="s">
        <v>721</v>
      </c>
      <c r="F461" s="16">
        <v>0.13800000000000001</v>
      </c>
      <c r="G461" s="13" t="s">
        <v>722</v>
      </c>
      <c r="H461" s="13" t="s">
        <v>723</v>
      </c>
      <c r="I461" s="13"/>
      <c r="J461" s="13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  <c r="AI461" s="14"/>
      <c r="AJ461" s="14"/>
      <c r="AK461" s="14"/>
      <c r="AL461" s="14"/>
      <c r="AM461" s="14"/>
      <c r="AN461" s="14"/>
      <c r="AO461" s="14"/>
    </row>
    <row r="462" spans="1:41" ht="20" hidden="1" customHeight="1" outlineLevel="1">
      <c r="A462" s="10" t="s">
        <v>661</v>
      </c>
      <c r="B462" s="13" t="s">
        <v>906</v>
      </c>
      <c r="C462" s="13"/>
      <c r="D462" s="13" t="s">
        <v>907</v>
      </c>
      <c r="E462" s="13" t="s">
        <v>721</v>
      </c>
      <c r="F462" s="16">
        <v>0.15290000000000001</v>
      </c>
      <c r="G462" s="13" t="s">
        <v>722</v>
      </c>
      <c r="H462" s="13" t="s">
        <v>723</v>
      </c>
      <c r="I462" s="13"/>
      <c r="J462" s="13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  <c r="AI462" s="14"/>
      <c r="AJ462" s="14"/>
      <c r="AK462" s="14"/>
      <c r="AL462" s="14"/>
      <c r="AM462" s="14"/>
      <c r="AN462" s="14"/>
      <c r="AO462" s="14"/>
    </row>
    <row r="463" spans="1:41" ht="20" hidden="1" customHeight="1" outlineLevel="1">
      <c r="A463" s="10" t="s">
        <v>661</v>
      </c>
      <c r="B463" s="13" t="s">
        <v>908</v>
      </c>
      <c r="C463" s="13"/>
      <c r="D463" s="13" t="s">
        <v>909</v>
      </c>
      <c r="E463" s="13" t="s">
        <v>721</v>
      </c>
      <c r="F463" s="16">
        <v>0.16789999999999999</v>
      </c>
      <c r="G463" s="13" t="s">
        <v>722</v>
      </c>
      <c r="H463" s="13" t="s">
        <v>723</v>
      </c>
      <c r="I463" s="13"/>
      <c r="J463" s="13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  <c r="AI463" s="14"/>
      <c r="AJ463" s="14"/>
      <c r="AK463" s="14"/>
      <c r="AL463" s="14"/>
      <c r="AM463" s="14"/>
      <c r="AN463" s="14"/>
      <c r="AO463" s="14"/>
    </row>
    <row r="464" spans="1:41" ht="20" hidden="1" customHeight="1" outlineLevel="1">
      <c r="A464" s="10" t="s">
        <v>661</v>
      </c>
      <c r="B464" s="13" t="s">
        <v>910</v>
      </c>
      <c r="C464" s="13"/>
      <c r="D464" s="13" t="s">
        <v>911</v>
      </c>
      <c r="E464" s="13" t="s">
        <v>721</v>
      </c>
      <c r="F464" s="16">
        <v>0.18279999999999999</v>
      </c>
      <c r="G464" s="13" t="s">
        <v>722</v>
      </c>
      <c r="H464" s="13" t="s">
        <v>723</v>
      </c>
      <c r="I464" s="13"/>
      <c r="J464" s="13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  <c r="AI464" s="14"/>
      <c r="AJ464" s="14"/>
      <c r="AK464" s="14"/>
      <c r="AL464" s="14"/>
      <c r="AM464" s="14"/>
      <c r="AN464" s="14"/>
      <c r="AO464" s="14"/>
    </row>
    <row r="465" spans="1:41" ht="20" hidden="1" customHeight="1" outlineLevel="1">
      <c r="A465" s="10" t="s">
        <v>661</v>
      </c>
      <c r="B465" s="13" t="s">
        <v>912</v>
      </c>
      <c r="C465" s="13"/>
      <c r="D465" s="13" t="s">
        <v>913</v>
      </c>
      <c r="E465" s="13" t="s">
        <v>721</v>
      </c>
      <c r="F465" s="16">
        <v>0.19769999999999999</v>
      </c>
      <c r="G465" s="13" t="s">
        <v>722</v>
      </c>
      <c r="H465" s="13" t="s">
        <v>723</v>
      </c>
      <c r="I465" s="13"/>
      <c r="J465" s="13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  <c r="AI465" s="14"/>
      <c r="AJ465" s="14"/>
      <c r="AK465" s="14"/>
      <c r="AL465" s="14"/>
      <c r="AM465" s="14"/>
      <c r="AN465" s="14"/>
      <c r="AO465" s="14"/>
    </row>
    <row r="466" spans="1:41" ht="20" hidden="1" customHeight="1" outlineLevel="1">
      <c r="A466" s="10" t="s">
        <v>661</v>
      </c>
      <c r="B466" s="13" t="s">
        <v>914</v>
      </c>
      <c r="C466" s="13"/>
      <c r="D466" s="13" t="s">
        <v>915</v>
      </c>
      <c r="E466" s="13" t="s">
        <v>721</v>
      </c>
      <c r="F466" s="16">
        <v>0.21260000000000001</v>
      </c>
      <c r="G466" s="13" t="s">
        <v>722</v>
      </c>
      <c r="H466" s="13" t="s">
        <v>723</v>
      </c>
      <c r="I466" s="13"/>
      <c r="J466" s="13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  <c r="AI466" s="14"/>
      <c r="AJ466" s="14"/>
      <c r="AK466" s="14"/>
      <c r="AL466" s="14"/>
      <c r="AM466" s="14"/>
      <c r="AN466" s="14"/>
      <c r="AO466" s="14"/>
    </row>
    <row r="467" spans="1:41" ht="20" hidden="1" customHeight="1" outlineLevel="1">
      <c r="A467" s="10" t="s">
        <v>661</v>
      </c>
      <c r="B467" s="13" t="s">
        <v>916</v>
      </c>
      <c r="C467" s="13"/>
      <c r="D467" s="13" t="s">
        <v>917</v>
      </c>
      <c r="E467" s="13" t="s">
        <v>721</v>
      </c>
      <c r="F467" s="16">
        <v>0.22750000000000001</v>
      </c>
      <c r="G467" s="13" t="s">
        <v>722</v>
      </c>
      <c r="H467" s="13" t="s">
        <v>723</v>
      </c>
      <c r="I467" s="13"/>
      <c r="J467" s="13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  <c r="AI467" s="14"/>
      <c r="AJ467" s="14"/>
      <c r="AK467" s="14"/>
      <c r="AL467" s="14"/>
      <c r="AM467" s="14"/>
      <c r="AN467" s="14"/>
      <c r="AO467" s="14"/>
    </row>
    <row r="468" spans="1:41" ht="20" hidden="1" customHeight="1" outlineLevel="1">
      <c r="A468" s="10" t="s">
        <v>661</v>
      </c>
      <c r="B468" s="13" t="s">
        <v>918</v>
      </c>
      <c r="C468" s="13"/>
      <c r="D468" s="13" t="s">
        <v>919</v>
      </c>
      <c r="E468" s="13" t="s">
        <v>721</v>
      </c>
      <c r="F468" s="16">
        <v>0.24249999999999999</v>
      </c>
      <c r="G468" s="13" t="s">
        <v>722</v>
      </c>
      <c r="H468" s="13" t="s">
        <v>723</v>
      </c>
      <c r="I468" s="13"/>
      <c r="J468" s="13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  <c r="AI468" s="14"/>
      <c r="AJ468" s="14"/>
      <c r="AK468" s="14"/>
      <c r="AL468" s="14"/>
      <c r="AM468" s="14"/>
      <c r="AN468" s="14"/>
      <c r="AO468" s="14"/>
    </row>
    <row r="469" spans="1:41" ht="20" hidden="1" customHeight="1" outlineLevel="1">
      <c r="A469" s="10" t="s">
        <v>661</v>
      </c>
      <c r="B469" s="13" t="s">
        <v>920</v>
      </c>
      <c r="C469" s="13"/>
      <c r="D469" s="13" t="s">
        <v>921</v>
      </c>
      <c r="E469" s="13" t="s">
        <v>721</v>
      </c>
      <c r="F469" s="16">
        <v>0.25740000000000002</v>
      </c>
      <c r="G469" s="13" t="s">
        <v>722</v>
      </c>
      <c r="H469" s="13" t="s">
        <v>723</v>
      </c>
      <c r="I469" s="13"/>
      <c r="J469" s="13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  <c r="AI469" s="14"/>
      <c r="AJ469" s="14"/>
      <c r="AK469" s="14"/>
      <c r="AL469" s="14"/>
      <c r="AM469" s="14"/>
      <c r="AN469" s="14"/>
      <c r="AO469" s="14"/>
    </row>
    <row r="470" spans="1:41" ht="20" hidden="1" customHeight="1" outlineLevel="1">
      <c r="A470" s="10" t="s">
        <v>661</v>
      </c>
      <c r="B470" s="13" t="s">
        <v>922</v>
      </c>
      <c r="C470" s="13"/>
      <c r="D470" s="13" t="s">
        <v>923</v>
      </c>
      <c r="E470" s="13" t="s">
        <v>721</v>
      </c>
      <c r="F470" s="16">
        <v>0.27229999999999999</v>
      </c>
      <c r="G470" s="13" t="s">
        <v>722</v>
      </c>
      <c r="H470" s="13" t="s">
        <v>723</v>
      </c>
      <c r="I470" s="13"/>
      <c r="J470" s="13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  <c r="AI470" s="14"/>
      <c r="AJ470" s="14"/>
      <c r="AK470" s="14"/>
      <c r="AL470" s="14"/>
      <c r="AM470" s="14"/>
      <c r="AN470" s="14"/>
      <c r="AO470" s="14"/>
    </row>
    <row r="471" spans="1:41" ht="20" hidden="1" customHeight="1" outlineLevel="1">
      <c r="A471" s="10" t="s">
        <v>661</v>
      </c>
      <c r="B471" s="13" t="s">
        <v>924</v>
      </c>
      <c r="C471" s="13"/>
      <c r="D471" s="13" t="s">
        <v>925</v>
      </c>
      <c r="E471" s="13" t="s">
        <v>721</v>
      </c>
      <c r="F471" s="16">
        <v>0.28720000000000001</v>
      </c>
      <c r="G471" s="13" t="s">
        <v>722</v>
      </c>
      <c r="H471" s="13" t="s">
        <v>723</v>
      </c>
      <c r="I471" s="13"/>
      <c r="J471" s="13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  <c r="AI471" s="14"/>
      <c r="AJ471" s="14"/>
      <c r="AK471" s="14"/>
      <c r="AL471" s="14"/>
      <c r="AM471" s="14"/>
      <c r="AN471" s="14"/>
      <c r="AO471" s="14"/>
    </row>
    <row r="472" spans="1:41" ht="20" hidden="1" customHeight="1" outlineLevel="1">
      <c r="A472" s="10" t="s">
        <v>661</v>
      </c>
      <c r="B472" s="13" t="s">
        <v>926</v>
      </c>
      <c r="C472" s="13"/>
      <c r="D472" s="13" t="s">
        <v>927</v>
      </c>
      <c r="E472" s="13" t="s">
        <v>721</v>
      </c>
      <c r="F472" s="16">
        <v>0.30209999999999998</v>
      </c>
      <c r="G472" s="13" t="s">
        <v>722</v>
      </c>
      <c r="H472" s="13" t="s">
        <v>723</v>
      </c>
      <c r="I472" s="13"/>
      <c r="J472" s="13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  <c r="AI472" s="14"/>
      <c r="AJ472" s="14"/>
      <c r="AK472" s="14"/>
      <c r="AL472" s="14"/>
      <c r="AM472" s="14"/>
      <c r="AN472" s="14"/>
      <c r="AO472" s="14"/>
    </row>
    <row r="473" spans="1:41" ht="20" hidden="1" customHeight="1" outlineLevel="1">
      <c r="A473" s="10" t="s">
        <v>661</v>
      </c>
      <c r="B473" s="13" t="s">
        <v>928</v>
      </c>
      <c r="C473" s="13"/>
      <c r="D473" s="13" t="s">
        <v>929</v>
      </c>
      <c r="E473" s="13" t="s">
        <v>721</v>
      </c>
      <c r="F473" s="16">
        <v>0.31709999999999999</v>
      </c>
      <c r="G473" s="13" t="s">
        <v>722</v>
      </c>
      <c r="H473" s="13" t="s">
        <v>723</v>
      </c>
      <c r="I473" s="13"/>
      <c r="J473" s="13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  <c r="AI473" s="14"/>
      <c r="AJ473" s="14"/>
      <c r="AK473" s="14"/>
      <c r="AL473" s="14"/>
      <c r="AM473" s="14"/>
      <c r="AN473" s="14"/>
      <c r="AO473" s="14"/>
    </row>
    <row r="474" spans="1:41" ht="20" hidden="1" customHeight="1" outlineLevel="1">
      <c r="A474" s="10" t="s">
        <v>661</v>
      </c>
      <c r="B474" s="13" t="s">
        <v>930</v>
      </c>
      <c r="C474" s="13"/>
      <c r="D474" s="13" t="s">
        <v>931</v>
      </c>
      <c r="E474" s="13" t="s">
        <v>721</v>
      </c>
      <c r="F474" s="16">
        <v>0.33200000000000002</v>
      </c>
      <c r="G474" s="13" t="s">
        <v>722</v>
      </c>
      <c r="H474" s="13" t="s">
        <v>723</v>
      </c>
      <c r="I474" s="13"/>
      <c r="J474" s="13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  <c r="AI474" s="14"/>
      <c r="AJ474" s="14"/>
      <c r="AK474" s="14"/>
      <c r="AL474" s="14"/>
      <c r="AM474" s="14"/>
      <c r="AN474" s="14"/>
      <c r="AO474" s="14"/>
    </row>
    <row r="475" spans="1:41" ht="20" hidden="1" customHeight="1" outlineLevel="1">
      <c r="A475" s="10" t="s">
        <v>661</v>
      </c>
      <c r="B475" s="13" t="s">
        <v>932</v>
      </c>
      <c r="C475" s="13"/>
      <c r="D475" s="13" t="s">
        <v>933</v>
      </c>
      <c r="E475" s="13" t="s">
        <v>721</v>
      </c>
      <c r="F475" s="16">
        <v>0.34689999999999999</v>
      </c>
      <c r="G475" s="13" t="s">
        <v>722</v>
      </c>
      <c r="H475" s="13" t="s">
        <v>723</v>
      </c>
      <c r="I475" s="13"/>
      <c r="J475" s="13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  <c r="AI475" s="14"/>
      <c r="AJ475" s="14"/>
      <c r="AK475" s="14"/>
      <c r="AL475" s="14"/>
      <c r="AM475" s="14"/>
      <c r="AN475" s="14"/>
      <c r="AO475" s="14"/>
    </row>
    <row r="476" spans="1:41" ht="20" hidden="1" customHeight="1" outlineLevel="1">
      <c r="A476" s="10" t="s">
        <v>661</v>
      </c>
      <c r="B476" s="13" t="s">
        <v>934</v>
      </c>
      <c r="C476" s="13"/>
      <c r="D476" s="13" t="s">
        <v>935</v>
      </c>
      <c r="E476" s="13" t="s">
        <v>721</v>
      </c>
      <c r="F476" s="16">
        <v>0.36180000000000001</v>
      </c>
      <c r="G476" s="13" t="s">
        <v>722</v>
      </c>
      <c r="H476" s="13" t="s">
        <v>723</v>
      </c>
      <c r="I476" s="13"/>
      <c r="J476" s="13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  <c r="AI476" s="14"/>
      <c r="AJ476" s="14"/>
      <c r="AK476" s="14"/>
      <c r="AL476" s="14"/>
      <c r="AM476" s="14"/>
      <c r="AN476" s="14"/>
      <c r="AO476" s="14"/>
    </row>
    <row r="477" spans="1:41" ht="20" hidden="1" customHeight="1" outlineLevel="1">
      <c r="A477" s="10" t="s">
        <v>661</v>
      </c>
      <c r="B477" s="13" t="s">
        <v>936</v>
      </c>
      <c r="C477" s="13"/>
      <c r="D477" s="13" t="s">
        <v>937</v>
      </c>
      <c r="E477" s="13" t="s">
        <v>721</v>
      </c>
      <c r="F477" s="16">
        <v>0.37669999999999998</v>
      </c>
      <c r="G477" s="13" t="s">
        <v>722</v>
      </c>
      <c r="H477" s="13" t="s">
        <v>723</v>
      </c>
      <c r="I477" s="13"/>
      <c r="J477" s="13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  <c r="AI477" s="14"/>
      <c r="AJ477" s="14"/>
      <c r="AK477" s="14"/>
      <c r="AL477" s="14"/>
      <c r="AM477" s="14"/>
      <c r="AN477" s="14"/>
      <c r="AO477" s="14"/>
    </row>
    <row r="478" spans="1:41" ht="20" hidden="1" customHeight="1" outlineLevel="1">
      <c r="A478" s="10" t="s">
        <v>661</v>
      </c>
      <c r="B478" s="13" t="s">
        <v>938</v>
      </c>
      <c r="C478" s="13"/>
      <c r="D478" s="13" t="s">
        <v>939</v>
      </c>
      <c r="E478" s="13" t="s">
        <v>721</v>
      </c>
      <c r="F478" s="16">
        <v>0.39169999999999999</v>
      </c>
      <c r="G478" s="13" t="s">
        <v>722</v>
      </c>
      <c r="H478" s="13" t="s">
        <v>723</v>
      </c>
      <c r="I478" s="13"/>
      <c r="J478" s="13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  <c r="AI478" s="14"/>
      <c r="AJ478" s="14"/>
      <c r="AK478" s="14"/>
      <c r="AL478" s="14"/>
      <c r="AM478" s="14"/>
      <c r="AN478" s="14"/>
      <c r="AO478" s="14"/>
    </row>
    <row r="479" spans="1:41" ht="20" hidden="1" customHeight="1" outlineLevel="1">
      <c r="A479" s="10" t="s">
        <v>661</v>
      </c>
      <c r="B479" s="13" t="s">
        <v>940</v>
      </c>
      <c r="C479" s="13"/>
      <c r="D479" s="13" t="s">
        <v>941</v>
      </c>
      <c r="E479" s="13" t="s">
        <v>721</v>
      </c>
      <c r="F479" s="16">
        <v>0.40660000000000002</v>
      </c>
      <c r="G479" s="13" t="s">
        <v>722</v>
      </c>
      <c r="H479" s="13" t="s">
        <v>723</v>
      </c>
      <c r="I479" s="13"/>
      <c r="J479" s="13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  <c r="AI479" s="14"/>
      <c r="AJ479" s="14"/>
      <c r="AK479" s="14"/>
      <c r="AL479" s="14"/>
      <c r="AM479" s="14"/>
      <c r="AN479" s="14"/>
      <c r="AO479" s="14"/>
    </row>
    <row r="480" spans="1:41" ht="20" hidden="1" customHeight="1" outlineLevel="1">
      <c r="A480" s="10" t="s">
        <v>661</v>
      </c>
      <c r="B480" s="13" t="s">
        <v>942</v>
      </c>
      <c r="C480" s="13"/>
      <c r="D480" s="13" t="s">
        <v>943</v>
      </c>
      <c r="E480" s="13" t="s">
        <v>721</v>
      </c>
      <c r="F480" s="16">
        <v>0.42149999999999999</v>
      </c>
      <c r="G480" s="13" t="s">
        <v>722</v>
      </c>
      <c r="H480" s="13" t="s">
        <v>723</v>
      </c>
      <c r="I480" s="13"/>
      <c r="J480" s="13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  <c r="AI480" s="14"/>
      <c r="AJ480" s="14"/>
      <c r="AK480" s="14"/>
      <c r="AL480" s="14"/>
      <c r="AM480" s="14"/>
      <c r="AN480" s="14"/>
      <c r="AO480" s="14"/>
    </row>
    <row r="481" spans="1:41" ht="20" hidden="1" customHeight="1" outlineLevel="1">
      <c r="A481" s="10" t="s">
        <v>661</v>
      </c>
      <c r="B481" s="13" t="s">
        <v>944</v>
      </c>
      <c r="C481" s="13"/>
      <c r="D481" s="13" t="s">
        <v>945</v>
      </c>
      <c r="E481" s="13" t="s">
        <v>721</v>
      </c>
      <c r="F481" s="16">
        <v>0.43640000000000001</v>
      </c>
      <c r="G481" s="13" t="s">
        <v>722</v>
      </c>
      <c r="H481" s="13" t="s">
        <v>723</v>
      </c>
      <c r="I481" s="13"/>
      <c r="J481" s="13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</row>
    <row r="482" spans="1:41" ht="20" hidden="1" customHeight="1" outlineLevel="1">
      <c r="A482" s="10" t="s">
        <v>661</v>
      </c>
      <c r="B482" s="13" t="s">
        <v>946</v>
      </c>
      <c r="C482" s="13"/>
      <c r="D482" s="13" t="s">
        <v>947</v>
      </c>
      <c r="E482" s="13" t="s">
        <v>721</v>
      </c>
      <c r="F482" s="16">
        <v>0.45129999999999998</v>
      </c>
      <c r="G482" s="13" t="s">
        <v>722</v>
      </c>
      <c r="H482" s="13" t="s">
        <v>723</v>
      </c>
      <c r="I482" s="13"/>
      <c r="J482" s="13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  <c r="AI482" s="14"/>
      <c r="AJ482" s="14"/>
      <c r="AK482" s="14"/>
      <c r="AL482" s="14"/>
      <c r="AM482" s="14"/>
      <c r="AN482" s="14"/>
      <c r="AO482" s="14"/>
    </row>
    <row r="483" spans="1:41" ht="20" hidden="1" customHeight="1" outlineLevel="1">
      <c r="A483" s="10" t="s">
        <v>661</v>
      </c>
      <c r="B483" s="13" t="s">
        <v>948</v>
      </c>
      <c r="C483" s="13"/>
      <c r="D483" s="13" t="s">
        <v>949</v>
      </c>
      <c r="E483" s="13" t="s">
        <v>721</v>
      </c>
      <c r="F483" s="16">
        <v>0.46629999999999999</v>
      </c>
      <c r="G483" s="13" t="s">
        <v>722</v>
      </c>
      <c r="H483" s="13" t="s">
        <v>723</v>
      </c>
      <c r="I483" s="13"/>
      <c r="J483" s="13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  <c r="AI483" s="14"/>
      <c r="AJ483" s="14"/>
      <c r="AK483" s="14"/>
      <c r="AL483" s="14"/>
      <c r="AM483" s="14"/>
      <c r="AN483" s="14"/>
      <c r="AO483" s="14"/>
    </row>
    <row r="484" spans="1:41" ht="20" hidden="1" customHeight="1" outlineLevel="1">
      <c r="A484" s="10" t="s">
        <v>661</v>
      </c>
      <c r="B484" s="13" t="s">
        <v>950</v>
      </c>
      <c r="C484" s="13"/>
      <c r="D484" s="13" t="s">
        <v>951</v>
      </c>
      <c r="E484" s="13" t="s">
        <v>721</v>
      </c>
      <c r="F484" s="16">
        <v>0.48120000000000002</v>
      </c>
      <c r="G484" s="13" t="s">
        <v>722</v>
      </c>
      <c r="H484" s="13" t="s">
        <v>723</v>
      </c>
      <c r="I484" s="13"/>
      <c r="J484" s="13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  <c r="AI484" s="14"/>
      <c r="AJ484" s="14"/>
      <c r="AK484" s="14"/>
      <c r="AL484" s="14"/>
      <c r="AM484" s="14"/>
      <c r="AN484" s="14"/>
      <c r="AO484" s="14"/>
    </row>
    <row r="485" spans="1:41" ht="20" hidden="1" customHeight="1" outlineLevel="1">
      <c r="A485" s="10" t="s">
        <v>661</v>
      </c>
      <c r="B485" s="13" t="s">
        <v>952</v>
      </c>
      <c r="C485" s="13"/>
      <c r="D485" s="13" t="s">
        <v>953</v>
      </c>
      <c r="E485" s="13" t="s">
        <v>721</v>
      </c>
      <c r="F485" s="16">
        <v>0.49609999999999999</v>
      </c>
      <c r="G485" s="13" t="s">
        <v>722</v>
      </c>
      <c r="H485" s="13" t="s">
        <v>723</v>
      </c>
      <c r="I485" s="13"/>
      <c r="J485" s="13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  <c r="AI485" s="14"/>
      <c r="AJ485" s="14"/>
      <c r="AK485" s="14"/>
      <c r="AL485" s="14"/>
      <c r="AM485" s="14"/>
      <c r="AN485" s="14"/>
      <c r="AO485" s="14"/>
    </row>
    <row r="486" spans="1:41" ht="20" hidden="1" customHeight="1" outlineLevel="1">
      <c r="A486" s="10" t="s">
        <v>661</v>
      </c>
      <c r="B486" s="13" t="s">
        <v>954</v>
      </c>
      <c r="C486" s="13"/>
      <c r="D486" s="13" t="s">
        <v>955</v>
      </c>
      <c r="E486" s="13" t="s">
        <v>721</v>
      </c>
      <c r="F486" s="16">
        <v>0.51100000000000001</v>
      </c>
      <c r="G486" s="13" t="s">
        <v>722</v>
      </c>
      <c r="H486" s="13" t="s">
        <v>723</v>
      </c>
      <c r="I486" s="13"/>
      <c r="J486" s="13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  <c r="AI486" s="14"/>
      <c r="AJ486" s="14"/>
      <c r="AK486" s="14"/>
      <c r="AL486" s="14"/>
      <c r="AM486" s="14"/>
      <c r="AN486" s="14"/>
      <c r="AO486" s="14"/>
    </row>
    <row r="487" spans="1:41" ht="20" hidden="1" customHeight="1" outlineLevel="1">
      <c r="A487" s="10" t="s">
        <v>661</v>
      </c>
      <c r="B487" s="13" t="s">
        <v>956</v>
      </c>
      <c r="C487" s="13"/>
      <c r="D487" s="13" t="s">
        <v>957</v>
      </c>
      <c r="E487" s="13" t="s">
        <v>721</v>
      </c>
      <c r="F487" s="16">
        <v>0.52590000000000003</v>
      </c>
      <c r="G487" s="13" t="s">
        <v>722</v>
      </c>
      <c r="H487" s="13" t="s">
        <v>723</v>
      </c>
      <c r="I487" s="13"/>
      <c r="J487" s="13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  <c r="AI487" s="14"/>
      <c r="AJ487" s="14"/>
      <c r="AK487" s="14"/>
      <c r="AL487" s="14"/>
      <c r="AM487" s="14"/>
      <c r="AN487" s="14"/>
      <c r="AO487" s="14"/>
    </row>
    <row r="488" spans="1:41" ht="20" hidden="1" customHeight="1" outlineLevel="1">
      <c r="A488" s="10" t="s">
        <v>661</v>
      </c>
      <c r="B488" s="13" t="s">
        <v>958</v>
      </c>
      <c r="C488" s="13"/>
      <c r="D488" s="13" t="s">
        <v>959</v>
      </c>
      <c r="E488" s="13" t="s">
        <v>721</v>
      </c>
      <c r="F488" s="16">
        <v>0.54090000000000005</v>
      </c>
      <c r="G488" s="13" t="s">
        <v>722</v>
      </c>
      <c r="H488" s="13" t="s">
        <v>723</v>
      </c>
      <c r="I488" s="13"/>
      <c r="J488" s="13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  <c r="AI488" s="14"/>
      <c r="AJ488" s="14"/>
      <c r="AK488" s="14"/>
      <c r="AL488" s="14"/>
      <c r="AM488" s="14"/>
      <c r="AN488" s="14"/>
      <c r="AO488" s="14"/>
    </row>
    <row r="489" spans="1:41" ht="20" hidden="1" customHeight="1" outlineLevel="1">
      <c r="A489" s="10" t="s">
        <v>661</v>
      </c>
      <c r="B489" s="13" t="s">
        <v>960</v>
      </c>
      <c r="C489" s="13"/>
      <c r="D489" s="13" t="s">
        <v>961</v>
      </c>
      <c r="E489" s="13" t="s">
        <v>721</v>
      </c>
      <c r="F489" s="16">
        <v>0.55579999999999996</v>
      </c>
      <c r="G489" s="13" t="s">
        <v>722</v>
      </c>
      <c r="H489" s="13" t="s">
        <v>723</v>
      </c>
      <c r="I489" s="13"/>
      <c r="J489" s="13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  <c r="AI489" s="14"/>
      <c r="AJ489" s="14"/>
      <c r="AK489" s="14"/>
      <c r="AL489" s="14"/>
      <c r="AM489" s="14"/>
      <c r="AN489" s="14"/>
      <c r="AO489" s="14"/>
    </row>
    <row r="490" spans="1:41" ht="20" hidden="1" customHeight="1" outlineLevel="1">
      <c r="A490" s="10" t="s">
        <v>661</v>
      </c>
      <c r="B490" s="13" t="s">
        <v>962</v>
      </c>
      <c r="C490" s="13"/>
      <c r="D490" s="13" t="s">
        <v>963</v>
      </c>
      <c r="E490" s="13" t="s">
        <v>721</v>
      </c>
      <c r="F490" s="16">
        <v>0.15690000000000001</v>
      </c>
      <c r="G490" s="13" t="s">
        <v>722</v>
      </c>
      <c r="H490" s="13" t="s">
        <v>723</v>
      </c>
      <c r="I490" s="13"/>
      <c r="J490" s="13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  <c r="AI490" s="14"/>
      <c r="AJ490" s="14"/>
      <c r="AK490" s="14"/>
      <c r="AL490" s="14"/>
      <c r="AM490" s="14"/>
      <c r="AN490" s="14"/>
      <c r="AO490" s="14"/>
    </row>
    <row r="491" spans="1:41" ht="20" hidden="1" customHeight="1" outlineLevel="1">
      <c r="A491" s="10" t="s">
        <v>661</v>
      </c>
      <c r="B491" s="13" t="s">
        <v>964</v>
      </c>
      <c r="C491" s="13"/>
      <c r="D491" s="13" t="s">
        <v>965</v>
      </c>
      <c r="E491" s="13" t="s">
        <v>721</v>
      </c>
      <c r="F491" s="16">
        <v>0.17460000000000001</v>
      </c>
      <c r="G491" s="13" t="s">
        <v>722</v>
      </c>
      <c r="H491" s="13" t="s">
        <v>723</v>
      </c>
      <c r="I491" s="13"/>
      <c r="J491" s="13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  <c r="AI491" s="14"/>
      <c r="AJ491" s="14"/>
      <c r="AK491" s="14"/>
      <c r="AL491" s="14"/>
      <c r="AM491" s="14"/>
      <c r="AN491" s="14"/>
      <c r="AO491" s="14"/>
    </row>
    <row r="492" spans="1:41" ht="20" hidden="1" customHeight="1" outlineLevel="1">
      <c r="A492" s="10" t="s">
        <v>661</v>
      </c>
      <c r="B492" s="13" t="s">
        <v>966</v>
      </c>
      <c r="C492" s="13"/>
      <c r="D492" s="13" t="s">
        <v>967</v>
      </c>
      <c r="E492" s="13" t="s">
        <v>721</v>
      </c>
      <c r="F492" s="16">
        <v>0.19239999999999999</v>
      </c>
      <c r="G492" s="13" t="s">
        <v>722</v>
      </c>
      <c r="H492" s="13" t="s">
        <v>723</v>
      </c>
      <c r="I492" s="13"/>
      <c r="J492" s="13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  <c r="AI492" s="14"/>
      <c r="AJ492" s="14"/>
      <c r="AK492" s="14"/>
      <c r="AL492" s="14"/>
      <c r="AM492" s="14"/>
      <c r="AN492" s="14"/>
      <c r="AO492" s="14"/>
    </row>
    <row r="493" spans="1:41" ht="20" hidden="1" customHeight="1" outlineLevel="1">
      <c r="A493" s="10" t="s">
        <v>661</v>
      </c>
      <c r="B493" s="13" t="s">
        <v>968</v>
      </c>
      <c r="C493" s="13"/>
      <c r="D493" s="13" t="s">
        <v>969</v>
      </c>
      <c r="E493" s="13" t="s">
        <v>721</v>
      </c>
      <c r="F493" s="16">
        <v>0.21010000000000001</v>
      </c>
      <c r="G493" s="13" t="s">
        <v>722</v>
      </c>
      <c r="H493" s="13" t="s">
        <v>723</v>
      </c>
      <c r="I493" s="13"/>
      <c r="J493" s="13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  <c r="AI493" s="14"/>
      <c r="AJ493" s="14"/>
      <c r="AK493" s="14"/>
      <c r="AL493" s="14"/>
      <c r="AM493" s="14"/>
      <c r="AN493" s="14"/>
      <c r="AO493" s="14"/>
    </row>
    <row r="494" spans="1:41" ht="20" hidden="1" customHeight="1" outlineLevel="1">
      <c r="A494" s="10" t="s">
        <v>661</v>
      </c>
      <c r="B494" s="13" t="s">
        <v>970</v>
      </c>
      <c r="C494" s="13"/>
      <c r="D494" s="13" t="s">
        <v>971</v>
      </c>
      <c r="E494" s="13" t="s">
        <v>721</v>
      </c>
      <c r="F494" s="16">
        <v>0.22789999999999999</v>
      </c>
      <c r="G494" s="13" t="s">
        <v>722</v>
      </c>
      <c r="H494" s="13" t="s">
        <v>723</v>
      </c>
      <c r="I494" s="13"/>
      <c r="J494" s="13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  <c r="AI494" s="14"/>
      <c r="AJ494" s="14"/>
      <c r="AK494" s="14"/>
      <c r="AL494" s="14"/>
      <c r="AM494" s="14"/>
      <c r="AN494" s="14"/>
      <c r="AO494" s="14"/>
    </row>
    <row r="495" spans="1:41" ht="20" hidden="1" customHeight="1" outlineLevel="1">
      <c r="A495" s="10" t="s">
        <v>661</v>
      </c>
      <c r="B495" s="13" t="s">
        <v>972</v>
      </c>
      <c r="C495" s="13"/>
      <c r="D495" s="13" t="s">
        <v>973</v>
      </c>
      <c r="E495" s="13" t="s">
        <v>721</v>
      </c>
      <c r="F495" s="16">
        <v>0.2457</v>
      </c>
      <c r="G495" s="13" t="s">
        <v>722</v>
      </c>
      <c r="H495" s="13" t="s">
        <v>723</v>
      </c>
      <c r="I495" s="13"/>
      <c r="J495" s="13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  <c r="AI495" s="14"/>
      <c r="AJ495" s="14"/>
      <c r="AK495" s="14"/>
      <c r="AL495" s="14"/>
      <c r="AM495" s="14"/>
      <c r="AN495" s="14"/>
      <c r="AO495" s="14"/>
    </row>
    <row r="496" spans="1:41" ht="20" hidden="1" customHeight="1" outlineLevel="1">
      <c r="A496" s="10" t="s">
        <v>661</v>
      </c>
      <c r="B496" s="13" t="s">
        <v>974</v>
      </c>
      <c r="C496" s="13"/>
      <c r="D496" s="13" t="s">
        <v>975</v>
      </c>
      <c r="E496" s="13" t="s">
        <v>721</v>
      </c>
      <c r="F496" s="16">
        <v>0.26340000000000002</v>
      </c>
      <c r="G496" s="13" t="s">
        <v>722</v>
      </c>
      <c r="H496" s="13" t="s">
        <v>723</v>
      </c>
      <c r="I496" s="13"/>
      <c r="J496" s="13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  <c r="AI496" s="14"/>
      <c r="AJ496" s="14"/>
      <c r="AK496" s="14"/>
      <c r="AL496" s="14"/>
      <c r="AM496" s="14"/>
      <c r="AN496" s="14"/>
      <c r="AO496" s="14"/>
    </row>
    <row r="497" spans="1:41" ht="20" hidden="1" customHeight="1" outlineLevel="1">
      <c r="A497" s="10" t="s">
        <v>661</v>
      </c>
      <c r="B497" s="13" t="s">
        <v>976</v>
      </c>
      <c r="C497" s="13"/>
      <c r="D497" s="13" t="s">
        <v>977</v>
      </c>
      <c r="E497" s="13" t="s">
        <v>721</v>
      </c>
      <c r="F497" s="16">
        <v>0.28120000000000001</v>
      </c>
      <c r="G497" s="13" t="s">
        <v>722</v>
      </c>
      <c r="H497" s="13" t="s">
        <v>723</v>
      </c>
      <c r="I497" s="13"/>
      <c r="J497" s="13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  <c r="AI497" s="14"/>
      <c r="AJ497" s="14"/>
      <c r="AK497" s="14"/>
      <c r="AL497" s="14"/>
      <c r="AM497" s="14"/>
      <c r="AN497" s="14"/>
      <c r="AO497" s="14"/>
    </row>
    <row r="498" spans="1:41" ht="20" hidden="1" customHeight="1" outlineLevel="1">
      <c r="A498" s="10" t="s">
        <v>661</v>
      </c>
      <c r="B498" s="13" t="s">
        <v>978</v>
      </c>
      <c r="C498" s="13"/>
      <c r="D498" s="13" t="s">
        <v>979</v>
      </c>
      <c r="E498" s="13" t="s">
        <v>721</v>
      </c>
      <c r="F498" s="16">
        <v>0.2989</v>
      </c>
      <c r="G498" s="13" t="s">
        <v>722</v>
      </c>
      <c r="H498" s="13" t="s">
        <v>723</v>
      </c>
      <c r="I498" s="13"/>
      <c r="J498" s="13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  <c r="AI498" s="14"/>
      <c r="AJ498" s="14"/>
      <c r="AK498" s="14"/>
      <c r="AL498" s="14"/>
      <c r="AM498" s="14"/>
      <c r="AN498" s="14"/>
      <c r="AO498" s="14"/>
    </row>
    <row r="499" spans="1:41" ht="20" hidden="1" customHeight="1" outlineLevel="1">
      <c r="A499" s="10" t="s">
        <v>661</v>
      </c>
      <c r="B499" s="13" t="s">
        <v>980</v>
      </c>
      <c r="C499" s="13"/>
      <c r="D499" s="13" t="s">
        <v>981</v>
      </c>
      <c r="E499" s="13" t="s">
        <v>721</v>
      </c>
      <c r="F499" s="16">
        <v>0.31669999999999998</v>
      </c>
      <c r="G499" s="13" t="s">
        <v>722</v>
      </c>
      <c r="H499" s="13" t="s">
        <v>723</v>
      </c>
      <c r="I499" s="13"/>
      <c r="J499" s="13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  <c r="AI499" s="14"/>
      <c r="AJ499" s="14"/>
      <c r="AK499" s="14"/>
      <c r="AL499" s="14"/>
      <c r="AM499" s="14"/>
      <c r="AN499" s="14"/>
      <c r="AO499" s="14"/>
    </row>
    <row r="500" spans="1:41" ht="20" hidden="1" customHeight="1" outlineLevel="1">
      <c r="A500" s="10" t="s">
        <v>661</v>
      </c>
      <c r="B500" s="13" t="s">
        <v>982</v>
      </c>
      <c r="C500" s="13"/>
      <c r="D500" s="13" t="s">
        <v>983</v>
      </c>
      <c r="E500" s="13" t="s">
        <v>721</v>
      </c>
      <c r="F500" s="16">
        <v>0.33439999999999998</v>
      </c>
      <c r="G500" s="13" t="s">
        <v>722</v>
      </c>
      <c r="H500" s="13" t="s">
        <v>723</v>
      </c>
      <c r="I500" s="13"/>
      <c r="J500" s="13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  <c r="AI500" s="14"/>
      <c r="AJ500" s="14"/>
      <c r="AK500" s="14"/>
      <c r="AL500" s="14"/>
      <c r="AM500" s="14"/>
      <c r="AN500" s="14"/>
      <c r="AO500" s="14"/>
    </row>
    <row r="501" spans="1:41" ht="20" hidden="1" customHeight="1" outlineLevel="1">
      <c r="A501" s="10" t="s">
        <v>661</v>
      </c>
      <c r="B501" s="13" t="s">
        <v>984</v>
      </c>
      <c r="C501" s="13"/>
      <c r="D501" s="13" t="s">
        <v>985</v>
      </c>
      <c r="E501" s="13" t="s">
        <v>721</v>
      </c>
      <c r="F501" s="16">
        <v>0.35220000000000001</v>
      </c>
      <c r="G501" s="13" t="s">
        <v>722</v>
      </c>
      <c r="H501" s="13" t="s">
        <v>723</v>
      </c>
      <c r="I501" s="13"/>
      <c r="J501" s="13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  <c r="AI501" s="14"/>
      <c r="AJ501" s="14"/>
      <c r="AK501" s="14"/>
      <c r="AL501" s="14"/>
      <c r="AM501" s="14"/>
      <c r="AN501" s="14"/>
      <c r="AO501" s="14"/>
    </row>
    <row r="502" spans="1:41" ht="20" hidden="1" customHeight="1" outlineLevel="1">
      <c r="A502" s="10" t="s">
        <v>661</v>
      </c>
      <c r="B502" s="13" t="s">
        <v>986</v>
      </c>
      <c r="C502" s="13"/>
      <c r="D502" s="13" t="s">
        <v>987</v>
      </c>
      <c r="E502" s="13" t="s">
        <v>721</v>
      </c>
      <c r="F502" s="16">
        <v>0.37</v>
      </c>
      <c r="G502" s="13" t="s">
        <v>722</v>
      </c>
      <c r="H502" s="13" t="s">
        <v>723</v>
      </c>
      <c r="I502" s="13"/>
      <c r="J502" s="13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  <c r="AI502" s="14"/>
      <c r="AJ502" s="14"/>
      <c r="AK502" s="14"/>
      <c r="AL502" s="14"/>
      <c r="AM502" s="14"/>
      <c r="AN502" s="14"/>
      <c r="AO502" s="14"/>
    </row>
    <row r="503" spans="1:41" ht="20" hidden="1" customHeight="1" outlineLevel="1">
      <c r="A503" s="10" t="s">
        <v>661</v>
      </c>
      <c r="B503" s="13" t="s">
        <v>988</v>
      </c>
      <c r="C503" s="13"/>
      <c r="D503" s="13" t="s">
        <v>989</v>
      </c>
      <c r="E503" s="13" t="s">
        <v>721</v>
      </c>
      <c r="F503" s="16">
        <v>0.38769999999999999</v>
      </c>
      <c r="G503" s="13" t="s">
        <v>722</v>
      </c>
      <c r="H503" s="13" t="s">
        <v>723</v>
      </c>
      <c r="I503" s="13"/>
      <c r="J503" s="13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  <c r="AI503" s="14"/>
      <c r="AJ503" s="14"/>
      <c r="AK503" s="14"/>
      <c r="AL503" s="14"/>
      <c r="AM503" s="14"/>
      <c r="AN503" s="14"/>
      <c r="AO503" s="14"/>
    </row>
    <row r="504" spans="1:41" ht="20" hidden="1" customHeight="1" outlineLevel="1">
      <c r="A504" s="10" t="s">
        <v>661</v>
      </c>
      <c r="B504" s="13" t="s">
        <v>990</v>
      </c>
      <c r="C504" s="13"/>
      <c r="D504" s="13" t="s">
        <v>991</v>
      </c>
      <c r="E504" s="13" t="s">
        <v>721</v>
      </c>
      <c r="F504" s="16">
        <v>0.40550000000000003</v>
      </c>
      <c r="G504" s="13" t="s">
        <v>722</v>
      </c>
      <c r="H504" s="13" t="s">
        <v>723</v>
      </c>
      <c r="I504" s="13"/>
      <c r="J504" s="13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  <c r="AI504" s="14"/>
      <c r="AJ504" s="14"/>
      <c r="AK504" s="14"/>
      <c r="AL504" s="14"/>
      <c r="AM504" s="14"/>
      <c r="AN504" s="14"/>
      <c r="AO504" s="14"/>
    </row>
    <row r="505" spans="1:41" ht="20" hidden="1" customHeight="1" outlineLevel="1">
      <c r="A505" s="10" t="s">
        <v>661</v>
      </c>
      <c r="B505" s="13" t="s">
        <v>992</v>
      </c>
      <c r="C505" s="13"/>
      <c r="D505" s="13" t="s">
        <v>993</v>
      </c>
      <c r="E505" s="13" t="s">
        <v>721</v>
      </c>
      <c r="F505" s="16">
        <v>0.42320000000000002</v>
      </c>
      <c r="G505" s="13" t="s">
        <v>722</v>
      </c>
      <c r="H505" s="13" t="s">
        <v>723</v>
      </c>
      <c r="I505" s="13"/>
      <c r="J505" s="13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  <c r="AI505" s="14"/>
      <c r="AJ505" s="14"/>
      <c r="AK505" s="14"/>
      <c r="AL505" s="14"/>
      <c r="AM505" s="14"/>
      <c r="AN505" s="14"/>
      <c r="AO505" s="14"/>
    </row>
    <row r="506" spans="1:41" ht="20" hidden="1" customHeight="1" outlineLevel="1">
      <c r="A506" s="10" t="s">
        <v>661</v>
      </c>
      <c r="B506" s="13" t="s">
        <v>994</v>
      </c>
      <c r="C506" s="13"/>
      <c r="D506" s="13" t="s">
        <v>995</v>
      </c>
      <c r="E506" s="13" t="s">
        <v>721</v>
      </c>
      <c r="F506" s="16">
        <v>0.441</v>
      </c>
      <c r="G506" s="13" t="s">
        <v>722</v>
      </c>
      <c r="H506" s="13" t="s">
        <v>723</v>
      </c>
      <c r="I506" s="13"/>
      <c r="J506" s="13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  <c r="AI506" s="14"/>
      <c r="AJ506" s="14"/>
      <c r="AK506" s="14"/>
      <c r="AL506" s="14"/>
      <c r="AM506" s="14"/>
      <c r="AN506" s="14"/>
      <c r="AO506" s="14"/>
    </row>
    <row r="507" spans="1:41" ht="20" hidden="1" customHeight="1" outlineLevel="1">
      <c r="A507" s="10" t="s">
        <v>661</v>
      </c>
      <c r="B507" s="13" t="s">
        <v>996</v>
      </c>
      <c r="C507" s="13"/>
      <c r="D507" s="13" t="s">
        <v>997</v>
      </c>
      <c r="E507" s="13" t="s">
        <v>721</v>
      </c>
      <c r="F507" s="16">
        <v>0.4587</v>
      </c>
      <c r="G507" s="13" t="s">
        <v>722</v>
      </c>
      <c r="H507" s="13" t="s">
        <v>723</v>
      </c>
      <c r="I507" s="13"/>
      <c r="J507" s="13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  <c r="AI507" s="14"/>
      <c r="AJ507" s="14"/>
      <c r="AK507" s="14"/>
      <c r="AL507" s="14"/>
      <c r="AM507" s="14"/>
      <c r="AN507" s="14"/>
      <c r="AO507" s="14"/>
    </row>
    <row r="508" spans="1:41" ht="20" hidden="1" customHeight="1" outlineLevel="1">
      <c r="A508" s="10" t="s">
        <v>661</v>
      </c>
      <c r="B508" s="13" t="s">
        <v>998</v>
      </c>
      <c r="C508" s="13"/>
      <c r="D508" s="13" t="s">
        <v>999</v>
      </c>
      <c r="E508" s="13" t="s">
        <v>721</v>
      </c>
      <c r="F508" s="16">
        <v>0.47649999999999998</v>
      </c>
      <c r="G508" s="13" t="s">
        <v>722</v>
      </c>
      <c r="H508" s="13" t="s">
        <v>723</v>
      </c>
      <c r="I508" s="13"/>
      <c r="J508" s="13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  <c r="AI508" s="14"/>
      <c r="AJ508" s="14"/>
      <c r="AK508" s="14"/>
      <c r="AL508" s="14"/>
      <c r="AM508" s="14"/>
      <c r="AN508" s="14"/>
      <c r="AO508" s="14"/>
    </row>
    <row r="509" spans="1:41" ht="20" hidden="1" customHeight="1" outlineLevel="1">
      <c r="A509" s="10" t="s">
        <v>661</v>
      </c>
      <c r="B509" s="13" t="s">
        <v>1000</v>
      </c>
      <c r="C509" s="13"/>
      <c r="D509" s="13" t="s">
        <v>1001</v>
      </c>
      <c r="E509" s="13" t="s">
        <v>721</v>
      </c>
      <c r="F509" s="16">
        <v>0.49419999999999997</v>
      </c>
      <c r="G509" s="13" t="s">
        <v>722</v>
      </c>
      <c r="H509" s="13" t="s">
        <v>723</v>
      </c>
      <c r="I509" s="13"/>
      <c r="J509" s="13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  <c r="AI509" s="14"/>
      <c r="AJ509" s="14"/>
      <c r="AK509" s="14"/>
      <c r="AL509" s="14"/>
      <c r="AM509" s="14"/>
      <c r="AN509" s="14"/>
      <c r="AO509" s="14"/>
    </row>
    <row r="510" spans="1:41" ht="20" hidden="1" customHeight="1" outlineLevel="1">
      <c r="A510" s="10" t="s">
        <v>661</v>
      </c>
      <c r="B510" s="13" t="s">
        <v>1002</v>
      </c>
      <c r="C510" s="13"/>
      <c r="D510" s="13" t="s">
        <v>1003</v>
      </c>
      <c r="E510" s="13" t="s">
        <v>721</v>
      </c>
      <c r="F510" s="16">
        <v>0.51200000000000001</v>
      </c>
      <c r="G510" s="13" t="s">
        <v>722</v>
      </c>
      <c r="H510" s="13" t="s">
        <v>723</v>
      </c>
      <c r="I510" s="13"/>
      <c r="J510" s="13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  <c r="AI510" s="14"/>
      <c r="AJ510" s="14"/>
      <c r="AK510" s="14"/>
      <c r="AL510" s="14"/>
      <c r="AM510" s="14"/>
      <c r="AN510" s="14"/>
      <c r="AO510" s="14"/>
    </row>
    <row r="511" spans="1:41" ht="20" hidden="1" customHeight="1" outlineLevel="1">
      <c r="A511" s="10" t="s">
        <v>661</v>
      </c>
      <c r="B511" s="13" t="s">
        <v>1004</v>
      </c>
      <c r="C511" s="13"/>
      <c r="D511" s="13" t="s">
        <v>1005</v>
      </c>
      <c r="E511" s="13" t="s">
        <v>721</v>
      </c>
      <c r="F511" s="16">
        <v>0.52980000000000005</v>
      </c>
      <c r="G511" s="13" t="s">
        <v>722</v>
      </c>
      <c r="H511" s="13" t="s">
        <v>723</v>
      </c>
      <c r="I511" s="13"/>
      <c r="J511" s="13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  <c r="AI511" s="14"/>
      <c r="AJ511" s="14"/>
      <c r="AK511" s="14"/>
      <c r="AL511" s="14"/>
      <c r="AM511" s="14"/>
      <c r="AN511" s="14"/>
      <c r="AO511" s="14"/>
    </row>
    <row r="512" spans="1:41" ht="20" hidden="1" customHeight="1" outlineLevel="1">
      <c r="A512" s="10" t="s">
        <v>661</v>
      </c>
      <c r="B512" s="13" t="s">
        <v>1006</v>
      </c>
      <c r="C512" s="13"/>
      <c r="D512" s="13" t="s">
        <v>1007</v>
      </c>
      <c r="E512" s="13" t="s">
        <v>721</v>
      </c>
      <c r="F512" s="16">
        <v>0.54749999999999999</v>
      </c>
      <c r="G512" s="13" t="s">
        <v>722</v>
      </c>
      <c r="H512" s="13" t="s">
        <v>723</v>
      </c>
      <c r="I512" s="13"/>
      <c r="J512" s="13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  <c r="AI512" s="14"/>
      <c r="AJ512" s="14"/>
      <c r="AK512" s="14"/>
      <c r="AL512" s="14"/>
      <c r="AM512" s="14"/>
      <c r="AN512" s="14"/>
      <c r="AO512" s="14"/>
    </row>
    <row r="513" spans="1:41" ht="20" hidden="1" customHeight="1" outlineLevel="1">
      <c r="A513" s="10" t="s">
        <v>661</v>
      </c>
      <c r="B513" s="13" t="s">
        <v>1008</v>
      </c>
      <c r="C513" s="13"/>
      <c r="D513" s="13" t="s">
        <v>1009</v>
      </c>
      <c r="E513" s="13" t="s">
        <v>721</v>
      </c>
      <c r="F513" s="16">
        <v>0.56530000000000002</v>
      </c>
      <c r="G513" s="13" t="s">
        <v>722</v>
      </c>
      <c r="H513" s="13" t="s">
        <v>723</v>
      </c>
      <c r="I513" s="13"/>
      <c r="J513" s="13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  <c r="AI513" s="14"/>
      <c r="AJ513" s="14"/>
      <c r="AK513" s="14"/>
      <c r="AL513" s="14"/>
      <c r="AM513" s="14"/>
      <c r="AN513" s="14"/>
      <c r="AO513" s="14"/>
    </row>
    <row r="514" spans="1:41" ht="20" hidden="1" customHeight="1" outlineLevel="1">
      <c r="A514" s="10" t="s">
        <v>661</v>
      </c>
      <c r="B514" s="13" t="s">
        <v>1010</v>
      </c>
      <c r="C514" s="13"/>
      <c r="D514" s="13" t="s">
        <v>1011</v>
      </c>
      <c r="E514" s="13" t="s">
        <v>721</v>
      </c>
      <c r="F514" s="16">
        <v>0.58299999999999996</v>
      </c>
      <c r="G514" s="13" t="s">
        <v>722</v>
      </c>
      <c r="H514" s="13" t="s">
        <v>723</v>
      </c>
      <c r="I514" s="13"/>
      <c r="J514" s="13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  <c r="AI514" s="14"/>
      <c r="AJ514" s="14"/>
      <c r="AK514" s="14"/>
      <c r="AL514" s="14"/>
      <c r="AM514" s="14"/>
      <c r="AN514" s="14"/>
      <c r="AO514" s="14"/>
    </row>
    <row r="515" spans="1:41" ht="20" hidden="1" customHeight="1" outlineLevel="1">
      <c r="A515" s="10" t="s">
        <v>661</v>
      </c>
      <c r="B515" s="13" t="s">
        <v>1012</v>
      </c>
      <c r="C515" s="13"/>
      <c r="D515" s="13" t="s">
        <v>1013</v>
      </c>
      <c r="E515" s="13" t="s">
        <v>721</v>
      </c>
      <c r="F515" s="16">
        <v>0.6008</v>
      </c>
      <c r="G515" s="13" t="s">
        <v>722</v>
      </c>
      <c r="H515" s="13" t="s">
        <v>723</v>
      </c>
      <c r="I515" s="13"/>
      <c r="J515" s="13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  <c r="AI515" s="14"/>
      <c r="AJ515" s="14"/>
      <c r="AK515" s="14"/>
      <c r="AL515" s="14"/>
      <c r="AM515" s="14"/>
      <c r="AN515" s="14"/>
      <c r="AO515" s="14"/>
    </row>
    <row r="516" spans="1:41" ht="20" hidden="1" customHeight="1" outlineLevel="1">
      <c r="A516" s="10" t="s">
        <v>661</v>
      </c>
      <c r="B516" s="13" t="s">
        <v>1014</v>
      </c>
      <c r="C516" s="13"/>
      <c r="D516" s="13" t="s">
        <v>1015</v>
      </c>
      <c r="E516" s="13" t="s">
        <v>721</v>
      </c>
      <c r="F516" s="16">
        <v>0.61850000000000005</v>
      </c>
      <c r="G516" s="13" t="s">
        <v>722</v>
      </c>
      <c r="H516" s="13" t="s">
        <v>723</v>
      </c>
      <c r="I516" s="13"/>
      <c r="J516" s="13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  <c r="AI516" s="14"/>
      <c r="AJ516" s="14"/>
      <c r="AK516" s="14"/>
      <c r="AL516" s="14"/>
      <c r="AM516" s="14"/>
      <c r="AN516" s="14"/>
      <c r="AO516" s="14"/>
    </row>
    <row r="517" spans="1:41" ht="20" hidden="1" customHeight="1" outlineLevel="1">
      <c r="A517" s="10" t="s">
        <v>661</v>
      </c>
      <c r="B517" s="13" t="s">
        <v>1016</v>
      </c>
      <c r="C517" s="13"/>
      <c r="D517" s="13" t="s">
        <v>1017</v>
      </c>
      <c r="E517" s="13" t="s">
        <v>721</v>
      </c>
      <c r="F517" s="16">
        <v>0.63629999999999998</v>
      </c>
      <c r="G517" s="13" t="s">
        <v>722</v>
      </c>
      <c r="H517" s="13" t="s">
        <v>723</v>
      </c>
      <c r="I517" s="13"/>
      <c r="J517" s="13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  <c r="AI517" s="14"/>
      <c r="AJ517" s="14"/>
      <c r="AK517" s="14"/>
      <c r="AL517" s="14"/>
      <c r="AM517" s="14"/>
      <c r="AN517" s="14"/>
      <c r="AO517" s="14"/>
    </row>
    <row r="518" spans="1:41" ht="20" hidden="1" customHeight="1" outlineLevel="1">
      <c r="A518" s="10" t="s">
        <v>661</v>
      </c>
      <c r="B518" s="13" t="s">
        <v>1018</v>
      </c>
      <c r="C518" s="13"/>
      <c r="D518" s="13" t="s">
        <v>1019</v>
      </c>
      <c r="E518" s="13" t="s">
        <v>721</v>
      </c>
      <c r="F518" s="16">
        <v>0.65410000000000001</v>
      </c>
      <c r="G518" s="13" t="s">
        <v>722</v>
      </c>
      <c r="H518" s="13" t="s">
        <v>723</v>
      </c>
      <c r="I518" s="13"/>
      <c r="J518" s="13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  <c r="AI518" s="14"/>
      <c r="AJ518" s="14"/>
      <c r="AK518" s="14"/>
      <c r="AL518" s="14"/>
      <c r="AM518" s="14"/>
      <c r="AN518" s="14"/>
      <c r="AO518" s="14"/>
    </row>
    <row r="519" spans="1:41" ht="20" hidden="1" customHeight="1" outlineLevel="1">
      <c r="A519" s="10" t="s">
        <v>661</v>
      </c>
      <c r="B519" s="13" t="s">
        <v>1020</v>
      </c>
      <c r="C519" s="13"/>
      <c r="D519" s="13" t="s">
        <v>1021</v>
      </c>
      <c r="E519" s="13" t="s">
        <v>721</v>
      </c>
      <c r="F519" s="16">
        <v>0.67179999999999995</v>
      </c>
      <c r="G519" s="13" t="s">
        <v>722</v>
      </c>
      <c r="H519" s="13" t="s">
        <v>723</v>
      </c>
      <c r="I519" s="13"/>
      <c r="J519" s="13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  <c r="AI519" s="14"/>
      <c r="AJ519" s="14"/>
      <c r="AK519" s="14"/>
      <c r="AL519" s="14"/>
      <c r="AM519" s="14"/>
      <c r="AN519" s="14"/>
      <c r="AO519" s="14"/>
    </row>
    <row r="520" spans="1:41" ht="20" customHeight="1" collapsed="1">
      <c r="A520" s="10" t="s">
        <v>1022</v>
      </c>
      <c r="B520" s="13"/>
      <c r="C520" s="13"/>
      <c r="D520" s="13"/>
      <c r="E520" s="13"/>
      <c r="F520" s="16"/>
      <c r="G520" s="13"/>
      <c r="H520" s="13"/>
      <c r="I520" s="13"/>
      <c r="J520" s="13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  <c r="AI520" s="14"/>
      <c r="AJ520" s="14"/>
      <c r="AK520" s="14"/>
      <c r="AL520" s="14"/>
      <c r="AM520" s="14"/>
      <c r="AN520" s="14"/>
      <c r="AO520" s="14"/>
    </row>
    <row r="521" spans="1:41" ht="20" hidden="1" customHeight="1" outlineLevel="1">
      <c r="A521" s="10" t="s">
        <v>1023</v>
      </c>
      <c r="B521" s="13" t="s">
        <v>1024</v>
      </c>
      <c r="C521" s="13"/>
      <c r="D521" s="13" t="s">
        <v>1025</v>
      </c>
      <c r="E521" s="13" t="s">
        <v>3</v>
      </c>
      <c r="F521" s="16">
        <v>4.0000000000000002E-4</v>
      </c>
      <c r="G521" s="13"/>
      <c r="H521" s="13" t="s">
        <v>618</v>
      </c>
      <c r="I521" s="13"/>
      <c r="J521" s="13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  <c r="AI521" s="14"/>
      <c r="AJ521" s="14"/>
      <c r="AK521" s="14"/>
      <c r="AL521" s="14"/>
      <c r="AM521" s="14"/>
      <c r="AN521" s="14"/>
      <c r="AO521" s="14"/>
    </row>
    <row r="522" spans="1:41" ht="20" hidden="1" customHeight="1" outlineLevel="1">
      <c r="A522" s="10" t="s">
        <v>1023</v>
      </c>
      <c r="B522" s="13" t="s">
        <v>1026</v>
      </c>
      <c r="C522" s="13"/>
      <c r="D522" s="13" t="s">
        <v>1027</v>
      </c>
      <c r="E522" s="13" t="s">
        <v>3</v>
      </c>
      <c r="F522" s="16">
        <v>8.0000000000000004E-4</v>
      </c>
      <c r="G522" s="13"/>
      <c r="H522" s="13" t="s">
        <v>618</v>
      </c>
      <c r="I522" s="13"/>
      <c r="J522" s="13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  <c r="AI522" s="14"/>
      <c r="AJ522" s="14"/>
      <c r="AK522" s="14"/>
      <c r="AL522" s="14"/>
      <c r="AM522" s="14"/>
      <c r="AN522" s="14"/>
      <c r="AO522" s="14"/>
    </row>
    <row r="523" spans="1:41" ht="20" hidden="1" customHeight="1" outlineLevel="1">
      <c r="A523" s="10" t="s">
        <v>1023</v>
      </c>
      <c r="B523" s="13" t="s">
        <v>1028</v>
      </c>
      <c r="C523" s="13"/>
      <c r="D523" s="13" t="s">
        <v>1029</v>
      </c>
      <c r="E523" s="13" t="s">
        <v>3</v>
      </c>
      <c r="F523" s="16">
        <v>1.2999999999999999E-3</v>
      </c>
      <c r="G523" s="13"/>
      <c r="H523" s="13" t="s">
        <v>618</v>
      </c>
      <c r="I523" s="13"/>
      <c r="J523" s="13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  <c r="AI523" s="14"/>
      <c r="AJ523" s="14"/>
      <c r="AK523" s="14"/>
      <c r="AL523" s="14"/>
      <c r="AM523" s="14"/>
      <c r="AN523" s="14"/>
      <c r="AO523" s="14"/>
    </row>
    <row r="524" spans="1:41" ht="20" hidden="1" customHeight="1" outlineLevel="1">
      <c r="A524" s="10" t="s">
        <v>1023</v>
      </c>
      <c r="B524" s="13" t="s">
        <v>1030</v>
      </c>
      <c r="C524" s="13"/>
      <c r="D524" s="13" t="s">
        <v>1031</v>
      </c>
      <c r="E524" s="13" t="s">
        <v>3</v>
      </c>
      <c r="F524" s="16">
        <v>2.8E-3</v>
      </c>
      <c r="G524" s="13"/>
      <c r="H524" s="13" t="s">
        <v>618</v>
      </c>
      <c r="I524" s="13"/>
      <c r="J524" s="13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  <c r="AI524" s="14"/>
      <c r="AJ524" s="14"/>
      <c r="AK524" s="14"/>
      <c r="AL524" s="14"/>
      <c r="AM524" s="14"/>
      <c r="AN524" s="14"/>
      <c r="AO524" s="14"/>
    </row>
    <row r="525" spans="1:41" ht="20" hidden="1" customHeight="1" outlineLevel="1">
      <c r="A525" s="10" t="s">
        <v>1023</v>
      </c>
      <c r="B525" s="13" t="s">
        <v>1032</v>
      </c>
      <c r="C525" s="13"/>
      <c r="D525" s="13" t="s">
        <v>1033</v>
      </c>
      <c r="E525" s="13" t="s">
        <v>3</v>
      </c>
      <c r="F525" s="16">
        <v>6.3E-3</v>
      </c>
      <c r="G525" s="13"/>
      <c r="H525" s="13" t="s">
        <v>1034</v>
      </c>
      <c r="I525" s="13"/>
      <c r="J525" s="13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  <c r="AI525" s="14"/>
      <c r="AJ525" s="14"/>
      <c r="AK525" s="14"/>
      <c r="AL525" s="14"/>
      <c r="AM525" s="14"/>
      <c r="AN525" s="14"/>
      <c r="AO525" s="14"/>
    </row>
    <row r="526" spans="1:41" ht="20" hidden="1" customHeight="1" outlineLevel="1">
      <c r="A526" s="10" t="s">
        <v>1023</v>
      </c>
      <c r="B526" s="13" t="s">
        <v>1035</v>
      </c>
      <c r="C526" s="13"/>
      <c r="D526" s="13" t="s">
        <v>1036</v>
      </c>
      <c r="E526" s="13" t="s">
        <v>3</v>
      </c>
      <c r="F526" s="16">
        <v>1.2200000000000001E-2</v>
      </c>
      <c r="G526" s="13"/>
      <c r="H526" s="13" t="s">
        <v>1037</v>
      </c>
      <c r="I526" s="13"/>
      <c r="J526" s="13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  <c r="AI526" s="14"/>
      <c r="AJ526" s="14"/>
      <c r="AK526" s="14"/>
      <c r="AL526" s="14"/>
      <c r="AM526" s="14"/>
      <c r="AN526" s="14"/>
      <c r="AO526" s="14"/>
    </row>
    <row r="527" spans="1:41" ht="20" hidden="1" customHeight="1" outlineLevel="1">
      <c r="A527" s="10" t="s">
        <v>1023</v>
      </c>
      <c r="B527" s="13" t="s">
        <v>1038</v>
      </c>
      <c r="C527" s="13"/>
      <c r="D527" s="13" t="s">
        <v>21</v>
      </c>
      <c r="E527" s="13" t="s">
        <v>3</v>
      </c>
      <c r="F527" s="16">
        <v>2.2200000000000001E-2</v>
      </c>
      <c r="G527" s="13"/>
      <c r="H527" s="13" t="s">
        <v>618</v>
      </c>
      <c r="I527" s="13"/>
      <c r="J527" s="13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  <c r="AI527" s="14"/>
      <c r="AJ527" s="14"/>
      <c r="AK527" s="14"/>
      <c r="AL527" s="14"/>
      <c r="AM527" s="14"/>
      <c r="AN527" s="14"/>
      <c r="AO527" s="14"/>
    </row>
    <row r="528" spans="1:41" ht="20" hidden="1" customHeight="1" outlineLevel="1">
      <c r="A528" s="10" t="s">
        <v>1023</v>
      </c>
      <c r="B528" s="13" t="s">
        <v>1039</v>
      </c>
      <c r="C528" s="13"/>
      <c r="D528" s="13" t="s">
        <v>1040</v>
      </c>
      <c r="E528" s="13" t="s">
        <v>3</v>
      </c>
      <c r="F528" s="16">
        <v>3.1699999999999999E-2</v>
      </c>
      <c r="G528" s="13"/>
      <c r="H528" s="13" t="s">
        <v>1034</v>
      </c>
      <c r="I528" s="13"/>
      <c r="J528" s="13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  <c r="AI528" s="14"/>
      <c r="AJ528" s="14"/>
      <c r="AK528" s="14"/>
      <c r="AL528" s="14"/>
      <c r="AM528" s="14"/>
      <c r="AN528" s="14"/>
      <c r="AO528" s="14"/>
    </row>
    <row r="529" spans="1:41" ht="20" hidden="1" customHeight="1" outlineLevel="1">
      <c r="A529" s="10" t="s">
        <v>1023</v>
      </c>
      <c r="B529" s="13" t="s">
        <v>1041</v>
      </c>
      <c r="C529" s="13"/>
      <c r="D529" s="13" t="s">
        <v>15</v>
      </c>
      <c r="E529" s="13" t="s">
        <v>3</v>
      </c>
      <c r="F529" s="16">
        <v>4.0899999999999999E-2</v>
      </c>
      <c r="G529" s="13"/>
      <c r="H529" s="13" t="s">
        <v>618</v>
      </c>
      <c r="I529" s="13"/>
      <c r="J529" s="13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  <c r="AI529" s="14"/>
      <c r="AJ529" s="14"/>
      <c r="AK529" s="14"/>
      <c r="AL529" s="14"/>
      <c r="AM529" s="14"/>
      <c r="AN529" s="14"/>
      <c r="AO529" s="14"/>
    </row>
    <row r="530" spans="1:41" ht="20" hidden="1" customHeight="1" outlineLevel="1">
      <c r="A530" s="10" t="s">
        <v>1023</v>
      </c>
      <c r="B530" s="13" t="s">
        <v>1042</v>
      </c>
      <c r="C530" s="13"/>
      <c r="D530" s="13" t="s">
        <v>1043</v>
      </c>
      <c r="E530" s="13" t="s">
        <v>3</v>
      </c>
      <c r="F530" s="16">
        <v>6.8500000000000005E-2</v>
      </c>
      <c r="G530" s="13"/>
      <c r="H530" s="13" t="s">
        <v>618</v>
      </c>
      <c r="I530" s="13"/>
      <c r="J530" s="13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  <c r="AI530" s="14"/>
      <c r="AJ530" s="14"/>
      <c r="AK530" s="14"/>
      <c r="AL530" s="14"/>
      <c r="AM530" s="14"/>
      <c r="AN530" s="14"/>
      <c r="AO530" s="14"/>
    </row>
    <row r="531" spans="1:41" ht="20" hidden="1" customHeight="1" outlineLevel="1">
      <c r="A531" s="10" t="s">
        <v>1023</v>
      </c>
      <c r="B531" s="13" t="s">
        <v>1044</v>
      </c>
      <c r="C531" s="13"/>
      <c r="D531" s="13" t="s">
        <v>1045</v>
      </c>
      <c r="E531" s="13" t="s">
        <v>3</v>
      </c>
      <c r="F531" s="16">
        <v>7.8E-2</v>
      </c>
      <c r="G531" s="13"/>
      <c r="H531" s="13" t="s">
        <v>618</v>
      </c>
      <c r="I531" s="13"/>
      <c r="J531" s="13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  <c r="AI531" s="14"/>
      <c r="AJ531" s="14"/>
      <c r="AK531" s="14"/>
      <c r="AL531" s="14"/>
      <c r="AM531" s="14"/>
      <c r="AN531" s="14"/>
      <c r="AO531" s="14"/>
    </row>
    <row r="532" spans="1:41" ht="20" hidden="1" customHeight="1" outlineLevel="1">
      <c r="A532" s="10" t="s">
        <v>1023</v>
      </c>
      <c r="B532" s="13" t="s">
        <v>1046</v>
      </c>
      <c r="C532" s="13"/>
      <c r="D532" s="13" t="s">
        <v>1047</v>
      </c>
      <c r="E532" s="13" t="s">
        <v>3</v>
      </c>
      <c r="F532" s="16">
        <v>0.11799999999999999</v>
      </c>
      <c r="G532" s="13"/>
      <c r="H532" s="13" t="s">
        <v>618</v>
      </c>
      <c r="I532" s="13"/>
      <c r="J532" s="13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  <c r="AI532" s="14"/>
      <c r="AJ532" s="14"/>
      <c r="AK532" s="14"/>
      <c r="AL532" s="14"/>
      <c r="AM532" s="14"/>
      <c r="AN532" s="14"/>
      <c r="AO532" s="14"/>
    </row>
    <row r="533" spans="1:41" ht="20" hidden="1" customHeight="1" outlineLevel="1">
      <c r="A533" s="10" t="s">
        <v>1023</v>
      </c>
      <c r="B533" s="13" t="s">
        <v>1048</v>
      </c>
      <c r="C533" s="13"/>
      <c r="D533" s="13" t="s">
        <v>1049</v>
      </c>
      <c r="E533" s="13" t="s">
        <v>3</v>
      </c>
      <c r="F533" s="16">
        <v>0.1406</v>
      </c>
      <c r="G533" s="13"/>
      <c r="H533" s="13" t="s">
        <v>618</v>
      </c>
      <c r="I533" s="13"/>
      <c r="J533" s="13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  <c r="AI533" s="14"/>
      <c r="AJ533" s="14"/>
      <c r="AK533" s="14"/>
      <c r="AL533" s="14"/>
      <c r="AM533" s="14"/>
      <c r="AN533" s="14"/>
      <c r="AO533" s="14"/>
    </row>
    <row r="534" spans="1:41" ht="20" hidden="1" customHeight="1" outlineLevel="1">
      <c r="A534" s="10" t="s">
        <v>1023</v>
      </c>
      <c r="B534" s="13" t="s">
        <v>1050</v>
      </c>
      <c r="C534" s="13"/>
      <c r="D534" s="13" t="s">
        <v>1025</v>
      </c>
      <c r="E534" s="13" t="s">
        <v>1051</v>
      </c>
      <c r="F534" s="16">
        <v>4.0000000000000002E-4</v>
      </c>
      <c r="G534" s="13" t="s">
        <v>97</v>
      </c>
      <c r="H534" s="13"/>
      <c r="I534" s="13"/>
      <c r="J534" s="13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  <c r="AI534" s="14"/>
      <c r="AJ534" s="14"/>
      <c r="AK534" s="14"/>
      <c r="AL534" s="14"/>
      <c r="AM534" s="14"/>
      <c r="AN534" s="14"/>
      <c r="AO534" s="14"/>
    </row>
    <row r="535" spans="1:41" ht="20" hidden="1" customHeight="1" outlineLevel="1">
      <c r="A535" s="10" t="s">
        <v>1023</v>
      </c>
      <c r="B535" s="13" t="s">
        <v>1052</v>
      </c>
      <c r="C535" s="13"/>
      <c r="D535" s="13" t="s">
        <v>1027</v>
      </c>
      <c r="E535" s="13" t="s">
        <v>1051</v>
      </c>
      <c r="F535" s="16">
        <v>8.0000000000000004E-4</v>
      </c>
      <c r="G535" s="13" t="s">
        <v>97</v>
      </c>
      <c r="H535" s="13"/>
      <c r="I535" s="13"/>
      <c r="J535" s="13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  <c r="AI535" s="14"/>
      <c r="AJ535" s="14"/>
      <c r="AK535" s="14"/>
      <c r="AL535" s="14"/>
      <c r="AM535" s="14"/>
      <c r="AN535" s="14"/>
      <c r="AO535" s="14"/>
    </row>
    <row r="536" spans="1:41" ht="20" hidden="1" customHeight="1" outlineLevel="1">
      <c r="A536" s="10" t="s">
        <v>1023</v>
      </c>
      <c r="B536" s="13" t="s">
        <v>1053</v>
      </c>
      <c r="C536" s="13"/>
      <c r="D536" s="13" t="s">
        <v>1029</v>
      </c>
      <c r="E536" s="13" t="s">
        <v>1051</v>
      </c>
      <c r="F536" s="16">
        <v>1.2999999999999999E-3</v>
      </c>
      <c r="G536" s="13" t="s">
        <v>97</v>
      </c>
      <c r="H536" s="13"/>
      <c r="I536" s="13"/>
      <c r="J536" s="13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  <c r="AI536" s="14"/>
      <c r="AJ536" s="14"/>
      <c r="AK536" s="14"/>
      <c r="AL536" s="14"/>
      <c r="AM536" s="14"/>
      <c r="AN536" s="14"/>
      <c r="AO536" s="14"/>
    </row>
    <row r="537" spans="1:41" ht="20" hidden="1" customHeight="1" outlineLevel="1">
      <c r="A537" s="10" t="s">
        <v>1023</v>
      </c>
      <c r="B537" s="13" t="s">
        <v>1054</v>
      </c>
      <c r="C537" s="13"/>
      <c r="D537" s="13" t="s">
        <v>1031</v>
      </c>
      <c r="E537" s="13" t="s">
        <v>1051</v>
      </c>
      <c r="F537" s="16">
        <v>2.8E-3</v>
      </c>
      <c r="G537" s="13" t="s">
        <v>97</v>
      </c>
      <c r="H537" s="13"/>
      <c r="I537" s="13"/>
      <c r="J537" s="13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  <c r="AI537" s="14"/>
      <c r="AJ537" s="14"/>
      <c r="AK537" s="14"/>
      <c r="AL537" s="14"/>
      <c r="AM537" s="14"/>
      <c r="AN537" s="14"/>
      <c r="AO537" s="14"/>
    </row>
    <row r="538" spans="1:41" ht="20" hidden="1" customHeight="1" outlineLevel="1">
      <c r="A538" s="10" t="s">
        <v>1023</v>
      </c>
      <c r="B538" s="13" t="s">
        <v>1055</v>
      </c>
      <c r="C538" s="13"/>
      <c r="D538" s="13" t="s">
        <v>1033</v>
      </c>
      <c r="E538" s="13" t="s">
        <v>1051</v>
      </c>
      <c r="F538" s="16">
        <v>6.4000000000000003E-3</v>
      </c>
      <c r="G538" s="13" t="s">
        <v>97</v>
      </c>
      <c r="H538" s="13"/>
      <c r="I538" s="13"/>
      <c r="J538" s="13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  <c r="AI538" s="14"/>
      <c r="AJ538" s="14"/>
      <c r="AK538" s="14"/>
      <c r="AL538" s="14"/>
      <c r="AM538" s="14"/>
      <c r="AN538" s="14"/>
      <c r="AO538" s="14"/>
    </row>
    <row r="539" spans="1:41" ht="20" hidden="1" customHeight="1" outlineLevel="1">
      <c r="A539" s="10" t="s">
        <v>1023</v>
      </c>
      <c r="B539" s="13" t="s">
        <v>1056</v>
      </c>
      <c r="C539" s="13"/>
      <c r="D539" s="13" t="s">
        <v>1036</v>
      </c>
      <c r="E539" s="13" t="s">
        <v>1051</v>
      </c>
      <c r="F539" s="16">
        <v>1.23E-2</v>
      </c>
      <c r="G539" s="13" t="s">
        <v>97</v>
      </c>
      <c r="H539" s="13"/>
      <c r="I539" s="13"/>
      <c r="J539" s="13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  <c r="AI539" s="14"/>
      <c r="AJ539" s="14"/>
      <c r="AK539" s="14"/>
      <c r="AL539" s="14"/>
      <c r="AM539" s="14"/>
      <c r="AN539" s="14"/>
      <c r="AO539" s="14"/>
    </row>
    <row r="540" spans="1:41" ht="20" hidden="1" customHeight="1" outlineLevel="1">
      <c r="A540" s="10" t="s">
        <v>1023</v>
      </c>
      <c r="B540" s="13" t="s">
        <v>1057</v>
      </c>
      <c r="C540" s="13"/>
      <c r="D540" s="13" t="s">
        <v>21</v>
      </c>
      <c r="E540" s="13" t="s">
        <v>1051</v>
      </c>
      <c r="F540" s="16">
        <v>2.24E-2</v>
      </c>
      <c r="G540" s="13" t="s">
        <v>97</v>
      </c>
      <c r="H540" s="13"/>
      <c r="I540" s="13"/>
      <c r="J540" s="13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  <c r="AI540" s="14"/>
      <c r="AJ540" s="14"/>
      <c r="AK540" s="14"/>
      <c r="AL540" s="14"/>
      <c r="AM540" s="14"/>
      <c r="AN540" s="14"/>
      <c r="AO540" s="14"/>
    </row>
    <row r="541" spans="1:41" ht="20" customHeight="1" collapsed="1">
      <c r="A541" s="10" t="s">
        <v>1058</v>
      </c>
      <c r="B541" s="13"/>
      <c r="C541" s="13"/>
      <c r="D541" s="13"/>
      <c r="E541" s="13"/>
      <c r="F541" s="16"/>
      <c r="G541" s="13"/>
      <c r="H541" s="13"/>
      <c r="I541" s="13"/>
      <c r="J541" s="13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  <c r="AI541" s="14"/>
      <c r="AJ541" s="14"/>
      <c r="AK541" s="14"/>
      <c r="AL541" s="14"/>
      <c r="AM541" s="14"/>
      <c r="AN541" s="14"/>
      <c r="AO541" s="14"/>
    </row>
    <row r="542" spans="1:41" ht="20" hidden="1" customHeight="1" outlineLevel="1">
      <c r="A542" s="10" t="s">
        <v>1059</v>
      </c>
      <c r="B542" s="13" t="s">
        <v>1060</v>
      </c>
      <c r="C542" s="13"/>
      <c r="D542" s="13" t="s">
        <v>1061</v>
      </c>
      <c r="E542" s="13" t="s">
        <v>8</v>
      </c>
      <c r="F542" s="16">
        <v>2.0000000000000001E-4</v>
      </c>
      <c r="G542" s="13"/>
      <c r="H542" s="13" t="s">
        <v>618</v>
      </c>
      <c r="I542" s="13"/>
      <c r="J542" s="13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  <c r="AI542" s="14"/>
      <c r="AJ542" s="14"/>
      <c r="AK542" s="14"/>
      <c r="AL542" s="14"/>
      <c r="AM542" s="14"/>
      <c r="AN542" s="14"/>
      <c r="AO542" s="14"/>
    </row>
    <row r="543" spans="1:41" ht="20" hidden="1" customHeight="1" outlineLevel="1">
      <c r="A543" s="10" t="s">
        <v>1059</v>
      </c>
      <c r="B543" s="13" t="s">
        <v>1062</v>
      </c>
      <c r="C543" s="13"/>
      <c r="D543" s="13" t="s">
        <v>1063</v>
      </c>
      <c r="E543" s="13" t="s">
        <v>8</v>
      </c>
      <c r="F543" s="16">
        <v>4.0000000000000002E-4</v>
      </c>
      <c r="G543" s="13"/>
      <c r="H543" s="13" t="s">
        <v>618</v>
      </c>
      <c r="I543" s="13"/>
      <c r="J543" s="13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  <c r="AI543" s="14"/>
      <c r="AJ543" s="14"/>
      <c r="AK543" s="14"/>
      <c r="AL543" s="14"/>
      <c r="AM543" s="14"/>
      <c r="AN543" s="14"/>
      <c r="AO543" s="14"/>
    </row>
    <row r="544" spans="1:41" ht="20" hidden="1" customHeight="1" outlineLevel="1">
      <c r="A544" s="10" t="s">
        <v>1059</v>
      </c>
      <c r="B544" s="13" t="s">
        <v>1064</v>
      </c>
      <c r="C544" s="13"/>
      <c r="D544" s="13" t="s">
        <v>1065</v>
      </c>
      <c r="E544" s="13" t="s">
        <v>8</v>
      </c>
      <c r="F544" s="16">
        <v>5.0000000000000001E-4</v>
      </c>
      <c r="G544" s="13"/>
      <c r="H544" s="13" t="s">
        <v>618</v>
      </c>
      <c r="I544" s="13"/>
      <c r="J544" s="13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  <c r="AI544" s="14"/>
      <c r="AJ544" s="14"/>
      <c r="AK544" s="14"/>
      <c r="AL544" s="14"/>
      <c r="AM544" s="14"/>
      <c r="AN544" s="14"/>
      <c r="AO544" s="14"/>
    </row>
    <row r="545" spans="1:41" ht="20" hidden="1" customHeight="1" outlineLevel="1">
      <c r="A545" s="10" t="s">
        <v>1059</v>
      </c>
      <c r="B545" s="13" t="s">
        <v>1066</v>
      </c>
      <c r="C545" s="13"/>
      <c r="D545" s="13" t="s">
        <v>1067</v>
      </c>
      <c r="E545" s="13" t="s">
        <v>8</v>
      </c>
      <c r="F545" s="16">
        <v>1.1000000000000001E-3</v>
      </c>
      <c r="G545" s="13"/>
      <c r="H545" s="13" t="s">
        <v>618</v>
      </c>
      <c r="I545" s="13"/>
      <c r="J545" s="13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  <c r="AI545" s="14"/>
      <c r="AJ545" s="14"/>
      <c r="AK545" s="14"/>
      <c r="AL545" s="14"/>
      <c r="AM545" s="14"/>
      <c r="AN545" s="14"/>
      <c r="AO545" s="14"/>
    </row>
    <row r="546" spans="1:41" ht="20" hidden="1" customHeight="1" outlineLevel="1">
      <c r="A546" s="10" t="s">
        <v>1059</v>
      </c>
      <c r="B546" s="13" t="s">
        <v>1068</v>
      </c>
      <c r="C546" s="13"/>
      <c r="D546" s="13" t="s">
        <v>11</v>
      </c>
      <c r="E546" s="13" t="s">
        <v>8</v>
      </c>
      <c r="F546" s="16">
        <v>1.9E-3</v>
      </c>
      <c r="G546" s="13"/>
      <c r="H546" s="13" t="s">
        <v>618</v>
      </c>
      <c r="I546" s="13"/>
      <c r="J546" s="13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  <c r="AI546" s="14"/>
      <c r="AJ546" s="14"/>
      <c r="AK546" s="14"/>
      <c r="AL546" s="14"/>
      <c r="AM546" s="14"/>
      <c r="AN546" s="14"/>
      <c r="AO546" s="14"/>
    </row>
    <row r="547" spans="1:41" ht="20" hidden="1" customHeight="1" outlineLevel="1">
      <c r="A547" s="10" t="s">
        <v>1059</v>
      </c>
      <c r="B547" s="13" t="s">
        <v>1069</v>
      </c>
      <c r="C547" s="13"/>
      <c r="D547" s="13" t="s">
        <v>1070</v>
      </c>
      <c r="E547" s="13" t="s">
        <v>8</v>
      </c>
      <c r="F547" s="16">
        <v>3.5999999999999999E-3</v>
      </c>
      <c r="G547" s="13"/>
      <c r="H547" s="13" t="s">
        <v>618</v>
      </c>
      <c r="I547" s="13"/>
      <c r="J547" s="13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  <c r="AI547" s="14"/>
      <c r="AJ547" s="14"/>
      <c r="AK547" s="14"/>
      <c r="AL547" s="14"/>
      <c r="AM547" s="14"/>
      <c r="AN547" s="14"/>
      <c r="AO547" s="14"/>
    </row>
    <row r="548" spans="1:41" ht="20" hidden="1" customHeight="1" outlineLevel="1">
      <c r="A548" s="10" t="s">
        <v>1059</v>
      </c>
      <c r="B548" s="13" t="s">
        <v>1071</v>
      </c>
      <c r="C548" s="13"/>
      <c r="D548" s="13" t="s">
        <v>22</v>
      </c>
      <c r="E548" s="13" t="s">
        <v>8</v>
      </c>
      <c r="F548" s="16">
        <v>6.3E-3</v>
      </c>
      <c r="G548" s="13"/>
      <c r="H548" s="13" t="s">
        <v>618</v>
      </c>
      <c r="I548" s="13"/>
      <c r="J548" s="13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  <c r="AI548" s="14"/>
      <c r="AJ548" s="14"/>
      <c r="AK548" s="14"/>
      <c r="AL548" s="14"/>
      <c r="AM548" s="14"/>
      <c r="AN548" s="14"/>
      <c r="AO548" s="14"/>
    </row>
    <row r="549" spans="1:41" ht="20" hidden="1" customHeight="1" outlineLevel="1">
      <c r="A549" s="10" t="s">
        <v>1059</v>
      </c>
      <c r="B549" s="13" t="s">
        <v>1072</v>
      </c>
      <c r="C549" s="13"/>
      <c r="D549" s="13" t="s">
        <v>1073</v>
      </c>
      <c r="E549" s="13" t="s">
        <v>8</v>
      </c>
      <c r="F549" s="16">
        <v>8.6999999999999994E-3</v>
      </c>
      <c r="G549" s="13"/>
      <c r="H549" s="13" t="s">
        <v>618</v>
      </c>
      <c r="I549" s="13"/>
      <c r="J549" s="13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  <c r="AI549" s="14"/>
      <c r="AJ549" s="14"/>
      <c r="AK549" s="14"/>
      <c r="AL549" s="14"/>
      <c r="AM549" s="14"/>
      <c r="AN549" s="14"/>
      <c r="AO549" s="14"/>
    </row>
    <row r="550" spans="1:41" ht="20" hidden="1" customHeight="1" outlineLevel="1">
      <c r="A550" s="10" t="s">
        <v>1059</v>
      </c>
      <c r="B550" s="13" t="s">
        <v>1074</v>
      </c>
      <c r="C550" s="13"/>
      <c r="D550" s="13" t="s">
        <v>16</v>
      </c>
      <c r="E550" s="13" t="s">
        <v>8</v>
      </c>
      <c r="F550" s="16">
        <v>1.14E-2</v>
      </c>
      <c r="G550" s="13"/>
      <c r="H550" s="13" t="s">
        <v>618</v>
      </c>
      <c r="I550" s="13"/>
      <c r="J550" s="13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  <c r="AI550" s="14"/>
      <c r="AJ550" s="14"/>
      <c r="AK550" s="14"/>
      <c r="AL550" s="14"/>
      <c r="AM550" s="14"/>
      <c r="AN550" s="14"/>
      <c r="AO550" s="14"/>
    </row>
    <row r="551" spans="1:41" ht="20" hidden="1" customHeight="1" outlineLevel="1">
      <c r="A551" s="10" t="s">
        <v>1059</v>
      </c>
      <c r="B551" s="13" t="s">
        <v>1075</v>
      </c>
      <c r="C551" s="13"/>
      <c r="D551" s="13" t="s">
        <v>1076</v>
      </c>
      <c r="E551" s="13" t="s">
        <v>8</v>
      </c>
      <c r="F551" s="16">
        <v>1.4800000000000001E-2</v>
      </c>
      <c r="G551" s="13"/>
      <c r="H551" s="13" t="s">
        <v>618</v>
      </c>
      <c r="I551" s="13"/>
      <c r="J551" s="13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  <c r="AI551" s="14"/>
      <c r="AJ551" s="14"/>
      <c r="AK551" s="14"/>
      <c r="AL551" s="14"/>
      <c r="AM551" s="14"/>
      <c r="AN551" s="14"/>
      <c r="AO551" s="14"/>
    </row>
    <row r="552" spans="1:41" ht="20" hidden="1" customHeight="1" outlineLevel="1">
      <c r="A552" s="10" t="s">
        <v>1059</v>
      </c>
      <c r="B552" s="13" t="s">
        <v>1077</v>
      </c>
      <c r="C552" s="13"/>
      <c r="D552" s="13" t="s">
        <v>1078</v>
      </c>
      <c r="E552" s="13" t="s">
        <v>8</v>
      </c>
      <c r="F552" s="16">
        <v>1.72E-2</v>
      </c>
      <c r="G552" s="13"/>
      <c r="H552" s="13" t="s">
        <v>618</v>
      </c>
      <c r="I552" s="13"/>
      <c r="J552" s="13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  <c r="AI552" s="14"/>
      <c r="AJ552" s="14"/>
      <c r="AK552" s="14"/>
      <c r="AL552" s="14"/>
      <c r="AM552" s="14"/>
      <c r="AN552" s="14"/>
      <c r="AO552" s="14"/>
    </row>
    <row r="553" spans="1:41" ht="20" hidden="1" customHeight="1" outlineLevel="1">
      <c r="A553" s="10" t="s">
        <v>1059</v>
      </c>
      <c r="B553" s="13" t="s">
        <v>1079</v>
      </c>
      <c r="C553" s="13"/>
      <c r="D553" s="13" t="s">
        <v>1080</v>
      </c>
      <c r="E553" s="13" t="s">
        <v>8</v>
      </c>
      <c r="F553" s="16">
        <v>1.84E-2</v>
      </c>
      <c r="G553" s="13"/>
      <c r="H553" s="13" t="s">
        <v>618</v>
      </c>
      <c r="I553" s="13"/>
      <c r="J553" s="13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  <c r="AI553" s="14"/>
      <c r="AJ553" s="14"/>
      <c r="AK553" s="14"/>
      <c r="AL553" s="14"/>
      <c r="AM553" s="14"/>
      <c r="AN553" s="14"/>
      <c r="AO553" s="14"/>
    </row>
    <row r="554" spans="1:41" ht="20" hidden="1" customHeight="1" outlineLevel="1">
      <c r="A554" s="10" t="s">
        <v>1059</v>
      </c>
      <c r="B554" s="13" t="s">
        <v>1081</v>
      </c>
      <c r="C554" s="13"/>
      <c r="D554" s="13" t="s">
        <v>1082</v>
      </c>
      <c r="E554" s="13" t="s">
        <v>8</v>
      </c>
      <c r="F554" s="16">
        <v>3.2399999999999998E-2</v>
      </c>
      <c r="G554" s="13"/>
      <c r="H554" s="13" t="s">
        <v>618</v>
      </c>
      <c r="I554" s="13"/>
      <c r="J554" s="13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  <c r="AI554" s="14"/>
      <c r="AJ554" s="14"/>
      <c r="AK554" s="14"/>
      <c r="AL554" s="14"/>
      <c r="AM554" s="14"/>
      <c r="AN554" s="14"/>
      <c r="AO554" s="14"/>
    </row>
    <row r="555" spans="1:41" ht="20" hidden="1" customHeight="1" outlineLevel="1">
      <c r="A555" s="10" t="s">
        <v>1059</v>
      </c>
      <c r="B555" s="13" t="s">
        <v>1083</v>
      </c>
      <c r="C555" s="13"/>
      <c r="D555" s="13" t="s">
        <v>1061</v>
      </c>
      <c r="E555" s="13" t="s">
        <v>1084</v>
      </c>
      <c r="F555" s="16">
        <v>2.0000000000000001E-4</v>
      </c>
      <c r="G555" s="13" t="s">
        <v>97</v>
      </c>
      <c r="H555" s="13"/>
      <c r="I555" s="13"/>
      <c r="J555" s="13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  <c r="AI555" s="14"/>
      <c r="AJ555" s="14"/>
      <c r="AK555" s="14"/>
      <c r="AL555" s="14"/>
      <c r="AM555" s="14"/>
      <c r="AN555" s="14"/>
      <c r="AO555" s="14"/>
    </row>
    <row r="556" spans="1:41" ht="20" hidden="1" customHeight="1" outlineLevel="1">
      <c r="A556" s="10" t="s">
        <v>1059</v>
      </c>
      <c r="B556" s="13" t="s">
        <v>1085</v>
      </c>
      <c r="C556" s="13"/>
      <c r="D556" s="13" t="s">
        <v>1063</v>
      </c>
      <c r="E556" s="13" t="s">
        <v>1084</v>
      </c>
      <c r="F556" s="16">
        <v>4.0000000000000002E-4</v>
      </c>
      <c r="G556" s="13" t="s">
        <v>97</v>
      </c>
      <c r="H556" s="13"/>
      <c r="I556" s="13"/>
      <c r="J556" s="13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  <c r="AI556" s="14"/>
      <c r="AJ556" s="14"/>
      <c r="AK556" s="14"/>
      <c r="AL556" s="14"/>
      <c r="AM556" s="14"/>
      <c r="AN556" s="14"/>
      <c r="AO556" s="14"/>
    </row>
    <row r="557" spans="1:41" ht="20" hidden="1" customHeight="1" outlineLevel="1">
      <c r="A557" s="10" t="s">
        <v>1059</v>
      </c>
      <c r="B557" s="13" t="s">
        <v>1086</v>
      </c>
      <c r="C557" s="13"/>
      <c r="D557" s="13" t="s">
        <v>1065</v>
      </c>
      <c r="E557" s="13" t="s">
        <v>1084</v>
      </c>
      <c r="F557" s="16">
        <v>5.0000000000000001E-4</v>
      </c>
      <c r="G557" s="13" t="s">
        <v>97</v>
      </c>
      <c r="H557" s="13"/>
      <c r="I557" s="13"/>
      <c r="J557" s="13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  <c r="AI557" s="14"/>
      <c r="AJ557" s="14"/>
      <c r="AK557" s="14"/>
      <c r="AL557" s="14"/>
      <c r="AM557" s="14"/>
      <c r="AN557" s="14"/>
      <c r="AO557" s="14"/>
    </row>
    <row r="558" spans="1:41" ht="20" hidden="1" customHeight="1" outlineLevel="1">
      <c r="A558" s="10" t="s">
        <v>1059</v>
      </c>
      <c r="B558" s="13" t="s">
        <v>1087</v>
      </c>
      <c r="C558" s="13"/>
      <c r="D558" s="13" t="s">
        <v>1067</v>
      </c>
      <c r="E558" s="13" t="s">
        <v>1084</v>
      </c>
      <c r="F558" s="16">
        <v>1.1000000000000001E-3</v>
      </c>
      <c r="G558" s="13" t="s">
        <v>97</v>
      </c>
      <c r="H558" s="13"/>
      <c r="I558" s="13"/>
      <c r="J558" s="13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  <c r="AI558" s="14"/>
      <c r="AJ558" s="14"/>
      <c r="AK558" s="14"/>
      <c r="AL558" s="14"/>
      <c r="AM558" s="14"/>
      <c r="AN558" s="14"/>
      <c r="AO558" s="14"/>
    </row>
    <row r="559" spans="1:41" ht="20" hidden="1" customHeight="1" outlineLevel="1">
      <c r="A559" s="10" t="s">
        <v>1059</v>
      </c>
      <c r="B559" s="13" t="s">
        <v>1088</v>
      </c>
      <c r="C559" s="13"/>
      <c r="D559" s="13" t="s">
        <v>11</v>
      </c>
      <c r="E559" s="13" t="s">
        <v>1084</v>
      </c>
      <c r="F559" s="16">
        <v>1.9E-3</v>
      </c>
      <c r="G559" s="13" t="s">
        <v>97</v>
      </c>
      <c r="H559" s="13"/>
      <c r="I559" s="13"/>
      <c r="J559" s="13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  <c r="AI559" s="14"/>
      <c r="AJ559" s="14"/>
      <c r="AK559" s="14"/>
      <c r="AL559" s="14"/>
      <c r="AM559" s="14"/>
      <c r="AN559" s="14"/>
      <c r="AO559" s="14"/>
    </row>
    <row r="560" spans="1:41" ht="20" hidden="1" customHeight="1" outlineLevel="1">
      <c r="A560" s="10" t="s">
        <v>1059</v>
      </c>
      <c r="B560" s="13" t="s">
        <v>1089</v>
      </c>
      <c r="C560" s="13"/>
      <c r="D560" s="13" t="s">
        <v>1070</v>
      </c>
      <c r="E560" s="13" t="s">
        <v>1084</v>
      </c>
      <c r="F560" s="16">
        <v>3.5999999999999999E-3</v>
      </c>
      <c r="G560" s="13" t="s">
        <v>97</v>
      </c>
      <c r="H560" s="13"/>
      <c r="I560" s="13"/>
      <c r="J560" s="13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  <c r="AI560" s="14"/>
      <c r="AJ560" s="14"/>
      <c r="AK560" s="14"/>
      <c r="AL560" s="14"/>
      <c r="AM560" s="14"/>
      <c r="AN560" s="14"/>
      <c r="AO560" s="14"/>
    </row>
    <row r="561" spans="1:41" ht="20" hidden="1" customHeight="1" outlineLevel="1">
      <c r="A561" s="10" t="s">
        <v>1059</v>
      </c>
      <c r="B561" s="13" t="s">
        <v>1090</v>
      </c>
      <c r="C561" s="13"/>
      <c r="D561" s="13" t="s">
        <v>22</v>
      </c>
      <c r="E561" s="13" t="s">
        <v>1084</v>
      </c>
      <c r="F561" s="16">
        <v>6.4000000000000003E-3</v>
      </c>
      <c r="G561" s="13" t="s">
        <v>97</v>
      </c>
      <c r="H561" s="13"/>
      <c r="I561" s="13"/>
      <c r="J561" s="13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  <c r="AI561" s="14"/>
      <c r="AJ561" s="14"/>
      <c r="AK561" s="14"/>
      <c r="AL561" s="14"/>
      <c r="AM561" s="14"/>
      <c r="AN561" s="14"/>
      <c r="AO561" s="14"/>
    </row>
    <row r="562" spans="1:41" ht="20" customHeight="1" collapsed="1">
      <c r="A562" s="10" t="s">
        <v>1091</v>
      </c>
      <c r="B562" s="13"/>
      <c r="C562" s="13"/>
      <c r="D562" s="13"/>
      <c r="E562" s="13"/>
      <c r="F562" s="16"/>
      <c r="G562" s="13"/>
      <c r="H562" s="13"/>
      <c r="I562" s="13"/>
      <c r="J562" s="13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  <c r="AI562" s="14"/>
      <c r="AJ562" s="14"/>
      <c r="AK562" s="14"/>
      <c r="AL562" s="14"/>
      <c r="AM562" s="14"/>
      <c r="AN562" s="14"/>
      <c r="AO562" s="14"/>
    </row>
    <row r="563" spans="1:41" ht="20" hidden="1" customHeight="1" outlineLevel="1">
      <c r="A563" s="10" t="s">
        <v>1092</v>
      </c>
      <c r="B563" s="13" t="s">
        <v>1093</v>
      </c>
      <c r="C563" s="13"/>
      <c r="D563" s="13" t="s">
        <v>1094</v>
      </c>
      <c r="E563" s="13" t="s">
        <v>4</v>
      </c>
      <c r="F563" s="16">
        <v>1E-4</v>
      </c>
      <c r="G563" s="13"/>
      <c r="H563" s="13" t="s">
        <v>618</v>
      </c>
      <c r="I563" s="13"/>
      <c r="J563" s="13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  <c r="AI563" s="14"/>
      <c r="AJ563" s="14"/>
      <c r="AK563" s="14"/>
      <c r="AL563" s="14"/>
      <c r="AM563" s="14"/>
      <c r="AN563" s="14"/>
      <c r="AO563" s="14"/>
    </row>
    <row r="564" spans="1:41" ht="20" hidden="1" customHeight="1" outlineLevel="1">
      <c r="A564" s="10" t="s">
        <v>1092</v>
      </c>
      <c r="B564" s="13" t="s">
        <v>1095</v>
      </c>
      <c r="C564" s="13"/>
      <c r="D564" s="13" t="s">
        <v>1096</v>
      </c>
      <c r="E564" s="13" t="s">
        <v>4</v>
      </c>
      <c r="F564" s="16">
        <v>2.0000000000000001E-4</v>
      </c>
      <c r="G564" s="13"/>
      <c r="H564" s="13" t="s">
        <v>618</v>
      </c>
      <c r="I564" s="13"/>
      <c r="J564" s="13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  <c r="AI564" s="14"/>
      <c r="AJ564" s="14"/>
      <c r="AK564" s="14"/>
      <c r="AL564" s="14"/>
      <c r="AM564" s="14"/>
      <c r="AN564" s="14"/>
      <c r="AO564" s="14"/>
    </row>
    <row r="565" spans="1:41" s="35" customFormat="1" ht="20" hidden="1" customHeight="1" outlineLevel="1">
      <c r="A565" s="10" t="s">
        <v>1092</v>
      </c>
      <c r="B565" s="13" t="s">
        <v>1097</v>
      </c>
      <c r="C565" s="13"/>
      <c r="D565" s="13" t="s">
        <v>1098</v>
      </c>
      <c r="E565" s="13" t="s">
        <v>4</v>
      </c>
      <c r="F565" s="16">
        <v>2.9999999999999997E-4</v>
      </c>
      <c r="G565" s="13"/>
      <c r="H565" s="13" t="s">
        <v>618</v>
      </c>
      <c r="I565" s="13"/>
      <c r="J565" s="13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  <c r="AI565" s="14"/>
      <c r="AJ565" s="14"/>
      <c r="AK565" s="14"/>
      <c r="AL565" s="14"/>
      <c r="AM565" s="14"/>
      <c r="AN565" s="14"/>
      <c r="AO565" s="14"/>
    </row>
    <row r="566" spans="1:41" s="35" customFormat="1" ht="20" hidden="1" customHeight="1" outlineLevel="1">
      <c r="A566" s="10" t="s">
        <v>1092</v>
      </c>
      <c r="B566" s="13" t="s">
        <v>1099</v>
      </c>
      <c r="C566" s="13"/>
      <c r="D566" s="13" t="s">
        <v>1100</v>
      </c>
      <c r="E566" s="13" t="s">
        <v>4</v>
      </c>
      <c r="F566" s="16">
        <v>5.9999999999999995E-4</v>
      </c>
      <c r="G566" s="13"/>
      <c r="H566" s="13" t="s">
        <v>618</v>
      </c>
      <c r="I566" s="13"/>
      <c r="J566" s="13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  <c r="AI566" s="14"/>
      <c r="AJ566" s="14"/>
      <c r="AK566" s="14"/>
      <c r="AL566" s="14"/>
      <c r="AM566" s="14"/>
      <c r="AN566" s="14"/>
      <c r="AO566" s="14"/>
    </row>
    <row r="567" spans="1:41" ht="20" hidden="1" customHeight="1" outlineLevel="1">
      <c r="A567" s="10" t="s">
        <v>1092</v>
      </c>
      <c r="B567" s="13" t="s">
        <v>1101</v>
      </c>
      <c r="C567" s="13"/>
      <c r="D567" s="13" t="s">
        <v>12</v>
      </c>
      <c r="E567" s="13" t="s">
        <v>4</v>
      </c>
      <c r="F567" s="16">
        <v>1.1999999999999999E-3</v>
      </c>
      <c r="G567" s="13"/>
      <c r="H567" s="13" t="s">
        <v>618</v>
      </c>
      <c r="I567" s="36"/>
      <c r="J567" s="36"/>
      <c r="K567" s="37"/>
      <c r="L567" s="37"/>
      <c r="M567" s="37"/>
      <c r="N567" s="37"/>
      <c r="O567" s="37"/>
      <c r="P567" s="37"/>
      <c r="Q567" s="37"/>
      <c r="R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  <c r="AC567" s="37"/>
      <c r="AD567" s="37"/>
      <c r="AE567" s="37"/>
      <c r="AF567" s="37"/>
      <c r="AG567" s="37"/>
      <c r="AH567" s="37"/>
      <c r="AI567" s="37"/>
      <c r="AJ567" s="37"/>
      <c r="AK567" s="37"/>
      <c r="AL567" s="37"/>
      <c r="AM567" s="37"/>
      <c r="AN567" s="37"/>
      <c r="AO567" s="37"/>
    </row>
    <row r="568" spans="1:41" ht="20" hidden="1" customHeight="1" outlineLevel="1">
      <c r="A568" s="10" t="s">
        <v>1092</v>
      </c>
      <c r="B568" s="13" t="s">
        <v>1102</v>
      </c>
      <c r="C568" s="13"/>
      <c r="D568" s="13" t="s">
        <v>1103</v>
      </c>
      <c r="E568" s="13" t="s">
        <v>4</v>
      </c>
      <c r="F568" s="16">
        <v>2.3E-3</v>
      </c>
      <c r="G568" s="13"/>
      <c r="H568" s="13" t="s">
        <v>618</v>
      </c>
      <c r="I568" s="13"/>
      <c r="J568" s="13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  <c r="AI568" s="14"/>
      <c r="AJ568" s="14"/>
      <c r="AK568" s="14"/>
      <c r="AL568" s="14"/>
      <c r="AM568" s="14"/>
      <c r="AN568" s="14"/>
      <c r="AO568" s="14"/>
    </row>
    <row r="569" spans="1:41" ht="20" hidden="1" customHeight="1" outlineLevel="1">
      <c r="A569" s="10" t="s">
        <v>1092</v>
      </c>
      <c r="B569" s="13" t="s">
        <v>1104</v>
      </c>
      <c r="C569" s="13"/>
      <c r="D569" s="13" t="s">
        <v>23</v>
      </c>
      <c r="E569" s="13" t="s">
        <v>4</v>
      </c>
      <c r="F569" s="16">
        <v>3.8999999999999998E-3</v>
      </c>
      <c r="G569" s="13"/>
      <c r="H569" s="13" t="s">
        <v>618</v>
      </c>
      <c r="I569" s="13"/>
      <c r="J569" s="13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  <c r="AI569" s="14"/>
      <c r="AJ569" s="14"/>
      <c r="AK569" s="14"/>
      <c r="AL569" s="14"/>
      <c r="AM569" s="14"/>
      <c r="AN569" s="14"/>
      <c r="AO569" s="14"/>
    </row>
    <row r="570" spans="1:41" ht="20" hidden="1" customHeight="1" outlineLevel="1">
      <c r="A570" s="10" t="s">
        <v>1092</v>
      </c>
      <c r="B570" s="13" t="s">
        <v>1105</v>
      </c>
      <c r="C570" s="13"/>
      <c r="D570" s="13" t="s">
        <v>1106</v>
      </c>
      <c r="E570" s="13" t="s">
        <v>4</v>
      </c>
      <c r="F570" s="16">
        <v>6.0000000000000001E-3</v>
      </c>
      <c r="G570" s="13"/>
      <c r="H570" s="13" t="s">
        <v>618</v>
      </c>
      <c r="I570" s="13"/>
      <c r="J570" s="13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  <c r="AI570" s="14"/>
      <c r="AJ570" s="14"/>
      <c r="AK570" s="14"/>
      <c r="AL570" s="14"/>
      <c r="AM570" s="14"/>
      <c r="AN570" s="14"/>
      <c r="AO570" s="14"/>
    </row>
    <row r="571" spans="1:41" ht="20" hidden="1" customHeight="1" outlineLevel="1">
      <c r="A571" s="10" t="s">
        <v>1092</v>
      </c>
      <c r="B571" s="13" t="s">
        <v>1107</v>
      </c>
      <c r="C571" s="13"/>
      <c r="D571" s="13" t="s">
        <v>17</v>
      </c>
      <c r="E571" s="13" t="s">
        <v>4</v>
      </c>
      <c r="F571" s="16">
        <v>8.8999999999999999E-3</v>
      </c>
      <c r="G571" s="13"/>
      <c r="H571" s="13" t="s">
        <v>618</v>
      </c>
      <c r="I571" s="13"/>
      <c r="J571" s="13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  <c r="AI571" s="14"/>
      <c r="AJ571" s="14"/>
      <c r="AK571" s="14"/>
      <c r="AL571" s="14"/>
      <c r="AM571" s="14"/>
      <c r="AN571" s="14"/>
      <c r="AO571" s="14"/>
    </row>
    <row r="572" spans="1:41" ht="20" hidden="1" customHeight="1" outlineLevel="1">
      <c r="A572" s="10" t="s">
        <v>1092</v>
      </c>
      <c r="B572" s="13" t="s">
        <v>1108</v>
      </c>
      <c r="C572" s="13"/>
      <c r="D572" s="13" t="s">
        <v>1109</v>
      </c>
      <c r="E572" s="13" t="s">
        <v>4</v>
      </c>
      <c r="F572" s="16">
        <v>1.1900000000000001E-2</v>
      </c>
      <c r="G572" s="13"/>
      <c r="H572" s="13" t="s">
        <v>618</v>
      </c>
      <c r="I572" s="13"/>
      <c r="J572" s="13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  <c r="AI572" s="14"/>
      <c r="AJ572" s="14"/>
      <c r="AK572" s="14"/>
      <c r="AL572" s="14"/>
      <c r="AM572" s="14"/>
      <c r="AN572" s="14"/>
      <c r="AO572" s="14"/>
    </row>
    <row r="573" spans="1:41" ht="20" hidden="1" customHeight="1" outlineLevel="1">
      <c r="A573" s="10" t="s">
        <v>1092</v>
      </c>
      <c r="B573" s="13" t="s">
        <v>1110</v>
      </c>
      <c r="C573" s="13"/>
      <c r="D573" s="13" t="s">
        <v>1111</v>
      </c>
      <c r="E573" s="13" t="s">
        <v>4</v>
      </c>
      <c r="F573" s="16">
        <v>1.6199999999999999E-2</v>
      </c>
      <c r="G573" s="13"/>
      <c r="H573" s="13" t="s">
        <v>618</v>
      </c>
      <c r="I573" s="13"/>
      <c r="J573" s="13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  <c r="AI573" s="14"/>
      <c r="AJ573" s="14"/>
      <c r="AK573" s="14"/>
      <c r="AL573" s="14"/>
      <c r="AM573" s="14"/>
      <c r="AN573" s="14"/>
      <c r="AO573" s="14"/>
    </row>
    <row r="574" spans="1:41" ht="20" hidden="1" customHeight="1" outlineLevel="1">
      <c r="A574" s="10" t="s">
        <v>1092</v>
      </c>
      <c r="B574" s="13" t="s">
        <v>1112</v>
      </c>
      <c r="C574" s="13"/>
      <c r="D574" s="13" t="s">
        <v>1113</v>
      </c>
      <c r="E574" s="13" t="s">
        <v>4</v>
      </c>
      <c r="F574" s="16">
        <v>2.1700000000000001E-2</v>
      </c>
      <c r="G574" s="13"/>
      <c r="H574" s="13" t="s">
        <v>618</v>
      </c>
      <c r="I574" s="13"/>
      <c r="J574" s="13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  <c r="AI574" s="14"/>
      <c r="AJ574" s="14"/>
      <c r="AK574" s="14"/>
      <c r="AL574" s="14"/>
      <c r="AM574" s="14"/>
      <c r="AN574" s="14"/>
      <c r="AO574" s="14"/>
    </row>
    <row r="575" spans="1:41" ht="20" hidden="1" customHeight="1" outlineLevel="1">
      <c r="A575" s="10" t="s">
        <v>1092</v>
      </c>
      <c r="B575" s="13" t="s">
        <v>1114</v>
      </c>
      <c r="C575" s="13"/>
      <c r="D575" s="13" t="s">
        <v>1115</v>
      </c>
      <c r="E575" s="13" t="s">
        <v>4</v>
      </c>
      <c r="F575" s="16">
        <v>2.81E-2</v>
      </c>
      <c r="G575" s="13"/>
      <c r="H575" s="13" t="s">
        <v>618</v>
      </c>
      <c r="I575" s="13"/>
      <c r="J575" s="13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  <c r="AI575" s="14"/>
      <c r="AJ575" s="14"/>
      <c r="AK575" s="14"/>
      <c r="AL575" s="14"/>
      <c r="AM575" s="14"/>
      <c r="AN575" s="14"/>
      <c r="AO575" s="14"/>
    </row>
    <row r="576" spans="1:41" ht="20" hidden="1" customHeight="1" outlineLevel="1">
      <c r="A576" s="10" t="s">
        <v>1092</v>
      </c>
      <c r="B576" s="13" t="s">
        <v>1116</v>
      </c>
      <c r="C576" s="13"/>
      <c r="D576" s="13" t="s">
        <v>1094</v>
      </c>
      <c r="E576" s="13" t="s">
        <v>1117</v>
      </c>
      <c r="F576" s="16">
        <v>1E-4</v>
      </c>
      <c r="G576" s="13" t="s">
        <v>97</v>
      </c>
      <c r="H576" s="13"/>
      <c r="I576" s="13"/>
      <c r="J576" s="13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  <c r="AI576" s="14"/>
      <c r="AJ576" s="14"/>
      <c r="AK576" s="14"/>
      <c r="AL576" s="14"/>
      <c r="AM576" s="14"/>
      <c r="AN576" s="14"/>
      <c r="AO576" s="14"/>
    </row>
    <row r="577" spans="1:41" ht="20" hidden="1" customHeight="1" outlineLevel="1">
      <c r="A577" s="10" t="s">
        <v>1092</v>
      </c>
      <c r="B577" s="13" t="s">
        <v>1118</v>
      </c>
      <c r="C577" s="13"/>
      <c r="D577" s="13" t="s">
        <v>1096</v>
      </c>
      <c r="E577" s="13" t="s">
        <v>1117</v>
      </c>
      <c r="F577" s="16">
        <v>2.0000000000000001E-4</v>
      </c>
      <c r="G577" s="13" t="s">
        <v>97</v>
      </c>
      <c r="H577" s="13"/>
      <c r="I577" s="13"/>
      <c r="J577" s="13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  <c r="AI577" s="14"/>
      <c r="AJ577" s="14"/>
      <c r="AK577" s="14"/>
      <c r="AL577" s="14"/>
      <c r="AM577" s="14"/>
      <c r="AN577" s="14"/>
      <c r="AO577" s="14"/>
    </row>
    <row r="578" spans="1:41" ht="20" hidden="1" customHeight="1" outlineLevel="1">
      <c r="A578" s="10" t="s">
        <v>1092</v>
      </c>
      <c r="B578" s="13" t="s">
        <v>1119</v>
      </c>
      <c r="C578" s="13"/>
      <c r="D578" s="13" t="s">
        <v>1098</v>
      </c>
      <c r="E578" s="13" t="s">
        <v>1117</v>
      </c>
      <c r="F578" s="16">
        <v>2.9999999999999997E-4</v>
      </c>
      <c r="G578" s="13" t="s">
        <v>97</v>
      </c>
      <c r="H578" s="13"/>
      <c r="I578" s="13"/>
      <c r="J578" s="13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  <c r="AI578" s="14"/>
      <c r="AJ578" s="14"/>
      <c r="AK578" s="14"/>
      <c r="AL578" s="14"/>
      <c r="AM578" s="14"/>
      <c r="AN578" s="14"/>
      <c r="AO578" s="14"/>
    </row>
    <row r="579" spans="1:41" ht="20" hidden="1" customHeight="1" outlineLevel="1">
      <c r="A579" s="10" t="s">
        <v>1092</v>
      </c>
      <c r="B579" s="13" t="s">
        <v>1120</v>
      </c>
      <c r="C579" s="13"/>
      <c r="D579" s="13" t="s">
        <v>1100</v>
      </c>
      <c r="E579" s="13" t="s">
        <v>1117</v>
      </c>
      <c r="F579" s="16">
        <v>5.9999999999999995E-4</v>
      </c>
      <c r="G579" s="13" t="s">
        <v>97</v>
      </c>
      <c r="H579" s="13"/>
      <c r="I579" s="13"/>
      <c r="J579" s="13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  <c r="AI579" s="14"/>
      <c r="AJ579" s="14"/>
      <c r="AK579" s="14"/>
      <c r="AL579" s="14"/>
      <c r="AM579" s="14"/>
      <c r="AN579" s="14"/>
      <c r="AO579" s="14"/>
    </row>
    <row r="580" spans="1:41" ht="20" hidden="1" customHeight="1" outlineLevel="1">
      <c r="A580" s="10" t="s">
        <v>1092</v>
      </c>
      <c r="B580" s="13" t="s">
        <v>1121</v>
      </c>
      <c r="C580" s="13"/>
      <c r="D580" s="13" t="s">
        <v>12</v>
      </c>
      <c r="E580" s="13" t="s">
        <v>1117</v>
      </c>
      <c r="F580" s="16">
        <v>1.1999999999999999E-3</v>
      </c>
      <c r="G580" s="13" t="s">
        <v>97</v>
      </c>
      <c r="H580" s="13"/>
      <c r="I580" s="13"/>
      <c r="J580" s="13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  <c r="AI580" s="14"/>
      <c r="AJ580" s="14"/>
      <c r="AK580" s="14"/>
      <c r="AL580" s="14"/>
      <c r="AM580" s="14"/>
      <c r="AN580" s="14"/>
      <c r="AO580" s="14"/>
    </row>
    <row r="581" spans="1:41" ht="20" hidden="1" customHeight="1" outlineLevel="1">
      <c r="A581" s="10" t="s">
        <v>1092</v>
      </c>
      <c r="B581" s="13" t="s">
        <v>1122</v>
      </c>
      <c r="C581" s="13"/>
      <c r="D581" s="13" t="s">
        <v>1103</v>
      </c>
      <c r="E581" s="13" t="s">
        <v>1117</v>
      </c>
      <c r="F581" s="16">
        <v>2.3E-3</v>
      </c>
      <c r="G581" s="13" t="s">
        <v>97</v>
      </c>
      <c r="H581" s="13"/>
      <c r="I581" s="13"/>
      <c r="J581" s="13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  <c r="AI581" s="14"/>
      <c r="AJ581" s="14"/>
      <c r="AK581" s="14"/>
      <c r="AL581" s="14"/>
      <c r="AM581" s="14"/>
      <c r="AN581" s="14"/>
      <c r="AO581" s="14"/>
    </row>
    <row r="582" spans="1:41" ht="20" hidden="1" customHeight="1" outlineLevel="1">
      <c r="A582" s="10" t="s">
        <v>1092</v>
      </c>
      <c r="B582" s="13" t="s">
        <v>1123</v>
      </c>
      <c r="C582" s="13"/>
      <c r="D582" s="13" t="s">
        <v>23</v>
      </c>
      <c r="E582" s="13" t="s">
        <v>1117</v>
      </c>
      <c r="F582" s="16">
        <v>3.8999999999999998E-3</v>
      </c>
      <c r="G582" s="13" t="s">
        <v>97</v>
      </c>
      <c r="H582" s="13"/>
      <c r="I582" s="13"/>
      <c r="J582" s="13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  <c r="AI582" s="14"/>
      <c r="AJ582" s="14"/>
      <c r="AK582" s="14"/>
      <c r="AL582" s="14"/>
      <c r="AM582" s="14"/>
      <c r="AN582" s="14"/>
      <c r="AO582" s="14"/>
    </row>
    <row r="583" spans="1:41" ht="20" hidden="1" customHeight="1" outlineLevel="1">
      <c r="A583" s="10"/>
      <c r="B583" s="13"/>
      <c r="C583" s="13"/>
      <c r="D583" s="13"/>
      <c r="E583" s="13"/>
      <c r="F583" s="16"/>
      <c r="G583" s="13"/>
      <c r="H583" s="13"/>
      <c r="I583" s="13"/>
      <c r="J583" s="13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  <c r="AI583" s="14"/>
      <c r="AJ583" s="14"/>
      <c r="AK583" s="14"/>
      <c r="AL583" s="14"/>
      <c r="AM583" s="14"/>
      <c r="AN583" s="14"/>
      <c r="AO583" s="14"/>
    </row>
    <row r="584" spans="1:41" ht="20" hidden="1" customHeight="1" outlineLevel="1">
      <c r="A584" s="10"/>
      <c r="B584" s="13"/>
      <c r="C584" s="13"/>
      <c r="D584" s="13"/>
      <c r="E584" s="13"/>
      <c r="F584" s="16"/>
      <c r="G584" s="13"/>
      <c r="H584" s="13"/>
      <c r="I584" s="13"/>
      <c r="J584" s="13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  <c r="AI584" s="14"/>
      <c r="AJ584" s="14"/>
      <c r="AK584" s="14"/>
      <c r="AL584" s="14"/>
      <c r="AM584" s="14"/>
      <c r="AN584" s="14"/>
      <c r="AO584" s="14"/>
    </row>
    <row r="585" spans="1:41" ht="20" customHeight="1" collapsed="1">
      <c r="A585" s="10" t="s">
        <v>1124</v>
      </c>
      <c r="B585" s="13"/>
      <c r="C585" s="13"/>
      <c r="D585" s="13"/>
      <c r="E585" s="13"/>
      <c r="F585" s="16"/>
      <c r="G585" s="13"/>
      <c r="H585" s="13"/>
      <c r="I585" s="13"/>
      <c r="J585" s="13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  <c r="AI585" s="14"/>
      <c r="AJ585" s="14"/>
      <c r="AK585" s="14"/>
      <c r="AL585" s="14"/>
      <c r="AM585" s="14"/>
      <c r="AN585" s="14"/>
      <c r="AO585" s="14"/>
    </row>
    <row r="586" spans="1:41" ht="20" hidden="1" customHeight="1" outlineLevel="1">
      <c r="A586" s="10" t="s">
        <v>1125</v>
      </c>
      <c r="B586" s="13" t="s">
        <v>1126</v>
      </c>
      <c r="C586" s="13"/>
      <c r="D586" s="13" t="s">
        <v>1127</v>
      </c>
      <c r="E586" s="13" t="s">
        <v>1128</v>
      </c>
      <c r="F586" s="16">
        <v>0</v>
      </c>
      <c r="G586" s="13" t="s">
        <v>97</v>
      </c>
      <c r="H586" s="13"/>
      <c r="I586" s="13"/>
      <c r="J586" s="13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  <c r="AI586" s="14"/>
      <c r="AJ586" s="14"/>
      <c r="AK586" s="14"/>
      <c r="AL586" s="14"/>
      <c r="AM586" s="14"/>
      <c r="AN586" s="14"/>
      <c r="AO586" s="14"/>
    </row>
    <row r="587" spans="1:41" ht="20" hidden="1" customHeight="1" outlineLevel="1">
      <c r="A587" s="10" t="s">
        <v>1125</v>
      </c>
      <c r="B587" s="13" t="s">
        <v>1129</v>
      </c>
      <c r="C587" s="13"/>
      <c r="D587" s="13" t="s">
        <v>1130</v>
      </c>
      <c r="E587" s="13" t="s">
        <v>1131</v>
      </c>
      <c r="F587" s="16">
        <v>0</v>
      </c>
      <c r="G587" s="13" t="s">
        <v>1132</v>
      </c>
      <c r="H587" s="13" t="s">
        <v>618</v>
      </c>
      <c r="I587" s="13"/>
      <c r="J587" s="13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  <c r="AI587" s="14"/>
      <c r="AJ587" s="14"/>
      <c r="AK587" s="14"/>
      <c r="AL587" s="14"/>
      <c r="AM587" s="14"/>
      <c r="AN587" s="14"/>
      <c r="AO587" s="14"/>
    </row>
    <row r="588" spans="1:41" ht="20" hidden="1" customHeight="1" outlineLevel="1">
      <c r="A588" s="10" t="s">
        <v>1125</v>
      </c>
      <c r="B588" s="13" t="s">
        <v>1133</v>
      </c>
      <c r="C588" s="13"/>
      <c r="D588" s="13" t="s">
        <v>1134</v>
      </c>
      <c r="E588" s="13" t="s">
        <v>1135</v>
      </c>
      <c r="F588" s="16">
        <v>0</v>
      </c>
      <c r="G588" s="13" t="s">
        <v>97</v>
      </c>
      <c r="H588" s="13"/>
      <c r="I588" s="13"/>
      <c r="J588" s="13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  <c r="AI588" s="14"/>
      <c r="AJ588" s="14"/>
      <c r="AK588" s="14"/>
      <c r="AL588" s="14"/>
      <c r="AM588" s="14"/>
      <c r="AN588" s="14"/>
      <c r="AO588" s="14"/>
    </row>
    <row r="589" spans="1:41" ht="20" hidden="1" customHeight="1" outlineLevel="1">
      <c r="A589" s="10" t="s">
        <v>1125</v>
      </c>
      <c r="B589" s="13" t="s">
        <v>1136</v>
      </c>
      <c r="C589" s="13"/>
      <c r="D589" s="13" t="s">
        <v>1137</v>
      </c>
      <c r="E589" s="13" t="s">
        <v>1138</v>
      </c>
      <c r="F589" s="16">
        <v>0</v>
      </c>
      <c r="G589" s="13" t="s">
        <v>1139</v>
      </c>
      <c r="H589" s="13" t="s">
        <v>618</v>
      </c>
      <c r="I589" s="13"/>
      <c r="J589" s="13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  <c r="AI589" s="14"/>
      <c r="AJ589" s="14"/>
      <c r="AK589" s="14"/>
      <c r="AL589" s="14"/>
      <c r="AM589" s="14"/>
      <c r="AN589" s="14"/>
      <c r="AO589" s="14"/>
    </row>
    <row r="590" spans="1:41" ht="20" hidden="1" customHeight="1" outlineLevel="1">
      <c r="A590" s="10" t="s">
        <v>1140</v>
      </c>
      <c r="B590" s="13"/>
      <c r="C590" s="13"/>
      <c r="D590" s="13"/>
      <c r="E590" s="13"/>
      <c r="F590" s="16"/>
      <c r="G590" s="13"/>
      <c r="H590" s="13"/>
      <c r="I590" s="13"/>
      <c r="J590" s="13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  <c r="AI590" s="14"/>
      <c r="AJ590" s="14"/>
      <c r="AK590" s="14"/>
      <c r="AL590" s="14"/>
      <c r="AM590" s="14"/>
      <c r="AN590" s="14"/>
      <c r="AO590" s="14"/>
    </row>
    <row r="591" spans="1:41" ht="20" hidden="1" customHeight="1" outlineLevel="1">
      <c r="A591" s="10"/>
      <c r="B591" s="13"/>
      <c r="C591" s="13"/>
      <c r="D591" s="13"/>
      <c r="E591" s="13"/>
      <c r="F591" s="16"/>
      <c r="G591" s="13"/>
      <c r="H591" s="13"/>
      <c r="I591" s="13"/>
      <c r="J591" s="13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  <c r="AI591" s="14"/>
      <c r="AJ591" s="14"/>
      <c r="AK591" s="14"/>
      <c r="AL591" s="14"/>
      <c r="AM591" s="14"/>
      <c r="AN591" s="14"/>
      <c r="AO591" s="14"/>
    </row>
    <row r="592" spans="1:41" ht="20" hidden="1" customHeight="1" outlineLevel="1">
      <c r="A592" s="10"/>
      <c r="B592" s="13"/>
      <c r="C592" s="13"/>
      <c r="D592" s="13"/>
      <c r="E592" s="13"/>
      <c r="F592" s="16"/>
      <c r="G592" s="13"/>
      <c r="H592" s="13"/>
      <c r="I592" s="13"/>
      <c r="J592" s="13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  <c r="AI592" s="14"/>
      <c r="AJ592" s="14"/>
      <c r="AK592" s="14"/>
      <c r="AL592" s="14"/>
      <c r="AM592" s="14"/>
      <c r="AN592" s="14"/>
      <c r="AO592" s="14"/>
    </row>
    <row r="593" spans="1:41" ht="20" hidden="1" customHeight="1" outlineLevel="1">
      <c r="A593" s="10"/>
      <c r="B593" s="13"/>
      <c r="C593" s="13"/>
      <c r="D593" s="13"/>
      <c r="E593" s="13"/>
      <c r="F593" s="16"/>
      <c r="G593" s="13"/>
      <c r="H593" s="13"/>
      <c r="I593" s="13"/>
      <c r="J593" s="13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  <c r="AI593" s="14"/>
      <c r="AJ593" s="14"/>
      <c r="AK593" s="14"/>
      <c r="AL593" s="14"/>
      <c r="AM593" s="14"/>
      <c r="AN593" s="14"/>
      <c r="AO593" s="14"/>
    </row>
    <row r="594" spans="1:41" ht="20" hidden="1" customHeight="1" outlineLevel="1">
      <c r="A594" s="10"/>
      <c r="B594" s="13"/>
      <c r="C594" s="13"/>
      <c r="D594" s="13"/>
      <c r="E594" s="13"/>
      <c r="F594" s="16"/>
      <c r="G594" s="13"/>
      <c r="H594" s="13"/>
      <c r="I594" s="13"/>
      <c r="J594" s="13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  <c r="AI594" s="14"/>
      <c r="AJ594" s="14"/>
      <c r="AK594" s="14"/>
      <c r="AL594" s="14"/>
      <c r="AM594" s="14"/>
      <c r="AN594" s="14"/>
      <c r="AO594" s="14"/>
    </row>
    <row r="595" spans="1:41" ht="20" hidden="1" customHeight="1" outlineLevel="1">
      <c r="A595" s="10"/>
      <c r="B595" s="13"/>
      <c r="C595" s="13"/>
      <c r="D595" s="13"/>
      <c r="E595" s="13"/>
      <c r="F595" s="16"/>
      <c r="G595" s="13"/>
      <c r="H595" s="13"/>
      <c r="I595" s="13"/>
      <c r="J595" s="13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  <c r="AI595" s="14"/>
      <c r="AJ595" s="14"/>
      <c r="AK595" s="14"/>
      <c r="AL595" s="14"/>
      <c r="AM595" s="14"/>
      <c r="AN595" s="14"/>
      <c r="AO595" s="14"/>
    </row>
    <row r="596" spans="1:41" ht="20" customHeight="1" collapsed="1">
      <c r="A596" s="10" t="s">
        <v>1141</v>
      </c>
      <c r="B596" s="13"/>
      <c r="C596" s="13"/>
      <c r="D596" s="13"/>
      <c r="E596" s="13"/>
      <c r="F596" s="16"/>
      <c r="G596" s="13"/>
      <c r="H596" s="13"/>
      <c r="I596" s="13"/>
      <c r="J596" s="13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  <c r="AI596" s="14"/>
      <c r="AJ596" s="14"/>
      <c r="AK596" s="14"/>
      <c r="AL596" s="14"/>
      <c r="AM596" s="14"/>
      <c r="AN596" s="14"/>
      <c r="AO596" s="14"/>
    </row>
    <row r="597" spans="1:41" ht="20" hidden="1" customHeight="1" outlineLevel="1">
      <c r="A597" s="10" t="s">
        <v>1142</v>
      </c>
      <c r="B597" s="13" t="s">
        <v>1143</v>
      </c>
      <c r="C597" s="13"/>
      <c r="D597" s="38" t="s">
        <v>1144</v>
      </c>
      <c r="E597" s="38" t="s">
        <v>1145</v>
      </c>
      <c r="F597" s="16">
        <v>0.72</v>
      </c>
      <c r="G597" s="13" t="s">
        <v>1146</v>
      </c>
      <c r="H597" s="13" t="s">
        <v>223</v>
      </c>
      <c r="I597" s="13" t="s">
        <v>573</v>
      </c>
      <c r="J597" s="13">
        <v>20221118</v>
      </c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  <c r="AI597" s="14"/>
      <c r="AJ597" s="14"/>
      <c r="AK597" s="14"/>
      <c r="AL597" s="14"/>
      <c r="AM597" s="14"/>
      <c r="AN597" s="14"/>
      <c r="AO597" s="14"/>
    </row>
    <row r="598" spans="1:41" ht="20" hidden="1" customHeight="1" outlineLevel="1">
      <c r="A598" s="10"/>
      <c r="B598" s="13"/>
      <c r="C598" s="13"/>
      <c r="D598" s="13"/>
      <c r="E598" s="13"/>
      <c r="F598" s="16"/>
      <c r="G598" s="13"/>
      <c r="H598" s="13"/>
      <c r="I598" s="13"/>
      <c r="J598" s="13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  <c r="AI598" s="14"/>
      <c r="AJ598" s="14"/>
      <c r="AK598" s="14"/>
      <c r="AL598" s="14"/>
      <c r="AM598" s="14"/>
      <c r="AN598" s="14"/>
      <c r="AO598" s="14"/>
    </row>
    <row r="599" spans="1:41" ht="20" hidden="1" customHeight="1" outlineLevel="1">
      <c r="A599" s="10"/>
      <c r="B599" s="13"/>
      <c r="C599" s="13"/>
      <c r="D599" s="13"/>
      <c r="E599" s="13"/>
      <c r="F599" s="16"/>
      <c r="G599" s="13"/>
      <c r="H599" s="13"/>
      <c r="I599" s="13"/>
      <c r="J599" s="13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  <c r="AI599" s="14"/>
      <c r="AJ599" s="14"/>
      <c r="AK599" s="14"/>
      <c r="AL599" s="14"/>
      <c r="AM599" s="14"/>
      <c r="AN599" s="14"/>
      <c r="AO599" s="14"/>
    </row>
    <row r="600" spans="1:41" ht="20" hidden="1" customHeight="1" outlineLevel="1">
      <c r="A600" s="10"/>
      <c r="B600" s="13"/>
      <c r="C600" s="13"/>
      <c r="D600" s="13"/>
      <c r="E600" s="13"/>
      <c r="F600" s="16"/>
      <c r="G600" s="13"/>
      <c r="H600" s="13"/>
      <c r="I600" s="13"/>
      <c r="J600" s="13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  <c r="AI600" s="14"/>
      <c r="AJ600" s="14"/>
      <c r="AK600" s="14"/>
      <c r="AL600" s="14"/>
      <c r="AM600" s="14"/>
      <c r="AN600" s="14"/>
      <c r="AO600" s="14"/>
    </row>
    <row r="601" spans="1:41" ht="20" hidden="1" customHeight="1" outlineLevel="1">
      <c r="A601" s="10"/>
      <c r="B601" s="13"/>
      <c r="C601" s="13"/>
      <c r="D601" s="13"/>
      <c r="E601" s="13"/>
      <c r="F601" s="16"/>
      <c r="G601" s="13"/>
      <c r="H601" s="13"/>
      <c r="I601" s="13"/>
      <c r="J601" s="13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  <c r="AI601" s="14"/>
      <c r="AJ601" s="14"/>
      <c r="AK601" s="14"/>
      <c r="AL601" s="14"/>
      <c r="AM601" s="14"/>
      <c r="AN601" s="14"/>
      <c r="AO601" s="14"/>
    </row>
    <row r="602" spans="1:41" ht="20" customHeight="1" collapsed="1">
      <c r="A602" s="10" t="s">
        <v>1147</v>
      </c>
      <c r="B602" s="13"/>
      <c r="C602" s="13"/>
      <c r="D602" s="13"/>
      <c r="E602" s="13"/>
      <c r="F602" s="16"/>
      <c r="G602" s="13"/>
      <c r="H602" s="13"/>
      <c r="I602" s="13"/>
      <c r="J602" s="13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  <c r="AI602" s="14"/>
      <c r="AJ602" s="14"/>
      <c r="AK602" s="14"/>
      <c r="AL602" s="14"/>
      <c r="AM602" s="14"/>
      <c r="AN602" s="14"/>
      <c r="AO602" s="14"/>
    </row>
    <row r="603" spans="1:41" ht="20" hidden="1" customHeight="1" outlineLevel="1">
      <c r="A603" s="10" t="s">
        <v>1148</v>
      </c>
      <c r="B603" s="13" t="s">
        <v>1149</v>
      </c>
      <c r="C603" s="13"/>
      <c r="D603" s="13" t="s">
        <v>1150</v>
      </c>
      <c r="E603" s="13" t="s">
        <v>1151</v>
      </c>
      <c r="F603" s="16">
        <v>8.0000000000000002E-3</v>
      </c>
      <c r="G603" s="13" t="s">
        <v>1152</v>
      </c>
      <c r="H603" s="13"/>
      <c r="I603" s="13" t="s">
        <v>595</v>
      </c>
      <c r="J603" s="13">
        <v>20221222</v>
      </c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  <c r="AI603" s="14"/>
      <c r="AJ603" s="14"/>
      <c r="AK603" s="14"/>
      <c r="AL603" s="14"/>
      <c r="AM603" s="14"/>
      <c r="AN603" s="14"/>
      <c r="AO603" s="14"/>
    </row>
    <row r="604" spans="1:41" ht="20" hidden="1" customHeight="1" outlineLevel="1">
      <c r="A604" s="10" t="s">
        <v>1148</v>
      </c>
      <c r="B604" s="13" t="s">
        <v>1153</v>
      </c>
      <c r="C604" s="13"/>
      <c r="D604" s="13" t="s">
        <v>1154</v>
      </c>
      <c r="E604" s="13" t="s">
        <v>1155</v>
      </c>
      <c r="F604" s="16">
        <v>0.01</v>
      </c>
      <c r="G604" s="13" t="s">
        <v>1152</v>
      </c>
      <c r="H604" s="13"/>
      <c r="I604" s="13" t="s">
        <v>595</v>
      </c>
      <c r="J604" s="13">
        <v>20221222</v>
      </c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  <c r="AI604" s="14"/>
      <c r="AJ604" s="14"/>
      <c r="AK604" s="14"/>
      <c r="AL604" s="14"/>
      <c r="AM604" s="14"/>
      <c r="AN604" s="14"/>
      <c r="AO604" s="14"/>
    </row>
    <row r="605" spans="1:41" ht="20" hidden="1" customHeight="1" outlineLevel="1">
      <c r="A605" s="10" t="s">
        <v>1148</v>
      </c>
      <c r="B605" s="13" t="s">
        <v>1156</v>
      </c>
      <c r="C605" s="13"/>
      <c r="D605" s="13" t="s">
        <v>1157</v>
      </c>
      <c r="E605" s="13" t="s">
        <v>1158</v>
      </c>
      <c r="F605" s="16">
        <v>1.2E-2</v>
      </c>
      <c r="G605" s="13" t="s">
        <v>1152</v>
      </c>
      <c r="H605" s="13"/>
      <c r="I605" s="13" t="s">
        <v>595</v>
      </c>
      <c r="J605" s="13">
        <v>20221222</v>
      </c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  <c r="AI605" s="14"/>
      <c r="AJ605" s="14"/>
      <c r="AK605" s="14"/>
      <c r="AL605" s="14"/>
      <c r="AM605" s="14"/>
      <c r="AN605" s="14"/>
      <c r="AO605" s="14"/>
    </row>
    <row r="606" spans="1:41" ht="20" hidden="1" customHeight="1" outlineLevel="1">
      <c r="A606" s="10" t="s">
        <v>1148</v>
      </c>
      <c r="B606" s="13" t="s">
        <v>1159</v>
      </c>
      <c r="C606" s="13"/>
      <c r="D606" s="13" t="s">
        <v>1160</v>
      </c>
      <c r="E606" s="13" t="s">
        <v>1161</v>
      </c>
      <c r="F606" s="16">
        <v>1.7000000000000001E-2</v>
      </c>
      <c r="G606" s="13" t="s">
        <v>1152</v>
      </c>
      <c r="H606" s="13"/>
      <c r="I606" s="13" t="s">
        <v>595</v>
      </c>
      <c r="J606" s="13">
        <v>20221222</v>
      </c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  <c r="AI606" s="14"/>
      <c r="AJ606" s="14"/>
      <c r="AK606" s="14"/>
      <c r="AL606" s="14"/>
      <c r="AM606" s="14"/>
      <c r="AN606" s="14"/>
      <c r="AO606" s="14"/>
    </row>
    <row r="607" spans="1:41" ht="20" hidden="1" customHeight="1" outlineLevel="1">
      <c r="A607" s="10" t="s">
        <v>1148</v>
      </c>
      <c r="B607" s="13" t="s">
        <v>1162</v>
      </c>
      <c r="C607" s="13"/>
      <c r="D607" s="13" t="s">
        <v>1163</v>
      </c>
      <c r="E607" s="13" t="s">
        <v>1164</v>
      </c>
      <c r="F607" s="16">
        <v>1.9E-2</v>
      </c>
      <c r="G607" s="13" t="s">
        <v>1152</v>
      </c>
      <c r="H607" s="13"/>
      <c r="I607" s="13" t="s">
        <v>595</v>
      </c>
      <c r="J607" s="13">
        <v>20221222</v>
      </c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  <c r="AI607" s="14"/>
      <c r="AJ607" s="14"/>
      <c r="AK607" s="14"/>
      <c r="AL607" s="14"/>
      <c r="AM607" s="14"/>
      <c r="AN607" s="14"/>
      <c r="AO607" s="14"/>
    </row>
    <row r="608" spans="1:41" ht="20" hidden="1" customHeight="1" outlineLevel="1">
      <c r="A608" s="10" t="s">
        <v>1148</v>
      </c>
      <c r="B608" s="13" t="s">
        <v>1165</v>
      </c>
      <c r="C608" s="13"/>
      <c r="D608" s="13" t="s">
        <v>1166</v>
      </c>
      <c r="E608" s="13" t="s">
        <v>1167</v>
      </c>
      <c r="F608" s="16">
        <v>2.1999999999999999E-2</v>
      </c>
      <c r="G608" s="13" t="s">
        <v>1152</v>
      </c>
      <c r="H608" s="13"/>
      <c r="I608" s="13" t="s">
        <v>595</v>
      </c>
      <c r="J608" s="13">
        <v>20221222</v>
      </c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  <c r="AI608" s="14"/>
      <c r="AJ608" s="14"/>
      <c r="AK608" s="14"/>
      <c r="AL608" s="14"/>
      <c r="AM608" s="14"/>
      <c r="AN608" s="14"/>
      <c r="AO608" s="14"/>
    </row>
    <row r="609" spans="1:41" ht="20" hidden="1" customHeight="1" outlineLevel="1">
      <c r="A609" s="10"/>
      <c r="B609" s="13"/>
      <c r="C609" s="13"/>
      <c r="D609" s="13"/>
      <c r="E609" s="13"/>
      <c r="F609" s="16"/>
      <c r="G609" s="13"/>
      <c r="H609" s="13"/>
      <c r="I609" s="13"/>
      <c r="J609" s="13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  <c r="AI609" s="14"/>
      <c r="AJ609" s="14"/>
      <c r="AK609" s="14"/>
      <c r="AL609" s="14"/>
      <c r="AM609" s="14"/>
      <c r="AN609" s="14"/>
      <c r="AO609" s="14"/>
    </row>
    <row r="610" spans="1:41" ht="20" customHeight="1">
      <c r="A610" s="10"/>
      <c r="B610" s="13"/>
      <c r="C610" s="13"/>
      <c r="D610" s="13"/>
      <c r="E610" s="13"/>
      <c r="F610" s="16"/>
      <c r="G610" s="13"/>
      <c r="H610" s="13"/>
      <c r="I610" s="13"/>
      <c r="J610" s="13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  <c r="AI610" s="14"/>
      <c r="AJ610" s="14"/>
      <c r="AK610" s="14"/>
      <c r="AL610" s="14"/>
      <c r="AM610" s="14"/>
      <c r="AN610" s="14"/>
      <c r="AO610" s="14"/>
    </row>
    <row r="611" spans="1:41" ht="20" customHeight="1">
      <c r="A611" s="10"/>
      <c r="B611" s="13"/>
      <c r="C611" s="13"/>
      <c r="D611" s="13"/>
      <c r="E611" s="13"/>
      <c r="F611" s="16"/>
      <c r="G611" s="13"/>
      <c r="H611" s="13"/>
      <c r="I611" s="13"/>
      <c r="J611" s="13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  <c r="AI611" s="14"/>
      <c r="AJ611" s="14"/>
      <c r="AK611" s="14"/>
      <c r="AL611" s="14"/>
      <c r="AM611" s="14"/>
      <c r="AN611" s="14"/>
      <c r="AO611" s="14"/>
    </row>
    <row r="612" spans="1:41" ht="20" customHeight="1">
      <c r="A612" s="10"/>
      <c r="B612" s="13"/>
      <c r="C612" s="13"/>
      <c r="D612" s="13"/>
      <c r="E612" s="13"/>
      <c r="F612" s="16"/>
      <c r="G612" s="13"/>
      <c r="H612" s="13"/>
      <c r="I612" s="13"/>
      <c r="J612" s="13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  <c r="AI612" s="14"/>
      <c r="AJ612" s="14"/>
      <c r="AK612" s="14"/>
      <c r="AL612" s="14"/>
      <c r="AM612" s="14"/>
      <c r="AN612" s="14"/>
      <c r="AO612" s="14"/>
    </row>
    <row r="613" spans="1:41" ht="20" customHeight="1">
      <c r="A613" s="10"/>
      <c r="B613" s="13"/>
      <c r="C613" s="13"/>
      <c r="D613" s="13"/>
      <c r="E613" s="13"/>
      <c r="F613" s="16"/>
      <c r="G613" s="13"/>
      <c r="H613" s="13"/>
      <c r="I613" s="13"/>
      <c r="J613" s="13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  <c r="AI613" s="14"/>
      <c r="AJ613" s="14"/>
      <c r="AK613" s="14"/>
      <c r="AL613" s="14"/>
      <c r="AM613" s="14"/>
      <c r="AN613" s="14"/>
      <c r="AO613" s="14"/>
    </row>
    <row r="614" spans="1:41" ht="20" customHeight="1">
      <c r="A614" s="10"/>
      <c r="B614" s="13"/>
      <c r="C614" s="13"/>
      <c r="D614" s="13"/>
      <c r="E614" s="13"/>
      <c r="F614" s="16"/>
      <c r="G614" s="13"/>
      <c r="H614" s="13"/>
      <c r="I614" s="13"/>
      <c r="J614" s="13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  <c r="AI614" s="14"/>
      <c r="AJ614" s="14"/>
      <c r="AK614" s="14"/>
      <c r="AL614" s="14"/>
      <c r="AM614" s="14"/>
      <c r="AN614" s="14"/>
      <c r="AO614" s="14"/>
    </row>
    <row r="615" spans="1:41" ht="20" customHeight="1">
      <c r="A615" s="10"/>
      <c r="B615" s="13"/>
      <c r="C615" s="13"/>
      <c r="D615" s="13"/>
      <c r="E615" s="13"/>
      <c r="F615" s="16"/>
      <c r="G615" s="13"/>
      <c r="H615" s="13"/>
      <c r="I615" s="13"/>
      <c r="J615" s="13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  <c r="AI615" s="14"/>
      <c r="AJ615" s="14"/>
      <c r="AK615" s="14"/>
      <c r="AL615" s="14"/>
      <c r="AM615" s="14"/>
      <c r="AN615" s="14"/>
      <c r="AO615" s="14"/>
    </row>
    <row r="616" spans="1:41" ht="20" customHeight="1">
      <c r="A616" s="10"/>
      <c r="B616" s="13"/>
      <c r="C616" s="13"/>
      <c r="D616" s="13"/>
      <c r="E616" s="13"/>
      <c r="F616" s="16"/>
      <c r="G616" s="13"/>
      <c r="H616" s="13"/>
      <c r="I616" s="13"/>
      <c r="J616" s="13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  <c r="AI616" s="14"/>
      <c r="AJ616" s="14"/>
      <c r="AK616" s="14"/>
      <c r="AL616" s="14"/>
      <c r="AM616" s="14"/>
      <c r="AN616" s="14"/>
      <c r="AO616" s="14"/>
    </row>
    <row r="617" spans="1:41" ht="20" customHeight="1">
      <c r="A617" s="10"/>
      <c r="B617" s="13"/>
      <c r="C617" s="13"/>
      <c r="D617" s="13"/>
      <c r="E617" s="13"/>
      <c r="F617" s="16"/>
      <c r="G617" s="13"/>
      <c r="H617" s="13"/>
      <c r="I617" s="13"/>
      <c r="J617" s="13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  <c r="AI617" s="14"/>
      <c r="AJ617" s="14"/>
      <c r="AK617" s="14"/>
      <c r="AL617" s="14"/>
      <c r="AM617" s="14"/>
      <c r="AN617" s="14"/>
      <c r="AO617" s="14"/>
    </row>
    <row r="618" spans="1:41" ht="20" customHeight="1">
      <c r="A618" s="10"/>
      <c r="B618" s="13"/>
      <c r="C618" s="13"/>
      <c r="D618" s="13"/>
      <c r="E618" s="13"/>
      <c r="F618" s="16"/>
      <c r="G618" s="13"/>
      <c r="H618" s="13"/>
      <c r="I618" s="13"/>
      <c r="J618" s="13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  <c r="AI618" s="14"/>
      <c r="AJ618" s="14"/>
      <c r="AK618" s="14"/>
      <c r="AL618" s="14"/>
      <c r="AM618" s="14"/>
      <c r="AN618" s="14"/>
      <c r="AO618" s="14"/>
    </row>
    <row r="619" spans="1:41" ht="20" customHeight="1">
      <c r="A619" s="10"/>
      <c r="B619" s="13"/>
      <c r="C619" s="13"/>
      <c r="D619" s="13"/>
      <c r="E619" s="13"/>
      <c r="F619" s="16"/>
      <c r="G619" s="13"/>
      <c r="H619" s="13"/>
      <c r="I619" s="13"/>
      <c r="J619" s="13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  <c r="AI619" s="14"/>
      <c r="AJ619" s="14"/>
      <c r="AK619" s="14"/>
      <c r="AL619" s="14"/>
      <c r="AM619" s="14"/>
      <c r="AN619" s="14"/>
      <c r="AO619" s="14"/>
    </row>
    <row r="620" spans="1:41" ht="20" customHeight="1">
      <c r="A620" s="10"/>
      <c r="B620" s="13"/>
      <c r="C620" s="13"/>
      <c r="D620" s="13"/>
      <c r="E620" s="13"/>
      <c r="F620" s="16"/>
      <c r="G620" s="13"/>
      <c r="H620" s="13"/>
      <c r="I620" s="13"/>
      <c r="J620" s="13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  <c r="AI620" s="14"/>
      <c r="AJ620" s="14"/>
      <c r="AK620" s="14"/>
      <c r="AL620" s="14"/>
      <c r="AM620" s="14"/>
      <c r="AN620" s="14"/>
      <c r="AO620" s="14"/>
    </row>
    <row r="621" spans="1:41" ht="20" customHeight="1">
      <c r="A621" s="10"/>
      <c r="B621" s="13"/>
      <c r="C621" s="13"/>
      <c r="D621" s="13"/>
      <c r="E621" s="13"/>
      <c r="F621" s="16"/>
      <c r="G621" s="13"/>
      <c r="H621" s="13"/>
      <c r="I621" s="13"/>
      <c r="J621" s="13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  <c r="AI621" s="14"/>
      <c r="AJ621" s="14"/>
      <c r="AK621" s="14"/>
      <c r="AL621" s="14"/>
      <c r="AM621" s="14"/>
      <c r="AN621" s="14"/>
      <c r="AO621" s="14"/>
    </row>
    <row r="622" spans="1:41" ht="20" customHeight="1">
      <c r="A622" s="10"/>
      <c r="B622" s="13"/>
      <c r="C622" s="13"/>
      <c r="D622" s="13"/>
      <c r="E622" s="13"/>
      <c r="F622" s="16"/>
      <c r="G622" s="13"/>
      <c r="H622" s="13"/>
      <c r="I622" s="13"/>
      <c r="J622" s="13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  <c r="AI622" s="14"/>
      <c r="AJ622" s="14"/>
      <c r="AK622" s="14"/>
      <c r="AL622" s="14"/>
      <c r="AM622" s="14"/>
      <c r="AN622" s="14"/>
      <c r="AO622" s="14"/>
    </row>
    <row r="623" spans="1:41" ht="20" customHeight="1">
      <c r="A623" s="10"/>
      <c r="B623" s="13"/>
      <c r="C623" s="13"/>
      <c r="D623" s="13"/>
      <c r="E623" s="13"/>
      <c r="F623" s="16"/>
      <c r="G623" s="13"/>
      <c r="H623" s="13"/>
      <c r="I623" s="13"/>
      <c r="J623" s="13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  <c r="AI623" s="14"/>
      <c r="AJ623" s="14"/>
      <c r="AK623" s="14"/>
      <c r="AL623" s="14"/>
      <c r="AM623" s="14"/>
      <c r="AN623" s="14"/>
      <c r="AO623" s="14"/>
    </row>
    <row r="624" spans="1:41" ht="20" customHeight="1">
      <c r="A624" s="10"/>
      <c r="B624" s="13"/>
      <c r="C624" s="13"/>
      <c r="D624" s="13"/>
      <c r="E624" s="13"/>
      <c r="F624" s="16"/>
      <c r="G624" s="13"/>
      <c r="H624" s="13"/>
      <c r="I624" s="13"/>
      <c r="J624" s="13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  <c r="AI624" s="14"/>
      <c r="AJ624" s="14"/>
      <c r="AK624" s="14"/>
      <c r="AL624" s="14"/>
      <c r="AM624" s="14"/>
      <c r="AN624" s="14"/>
      <c r="AO624" s="14"/>
    </row>
    <row r="625" spans="1:41" ht="20" customHeight="1">
      <c r="A625" s="10"/>
      <c r="B625" s="13"/>
      <c r="C625" s="13"/>
      <c r="D625" s="13"/>
      <c r="E625" s="13"/>
      <c r="F625" s="16"/>
      <c r="G625" s="13"/>
      <c r="H625" s="13"/>
      <c r="I625" s="13"/>
      <c r="J625" s="13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  <c r="AI625" s="14"/>
      <c r="AJ625" s="14"/>
      <c r="AK625" s="14"/>
      <c r="AL625" s="14"/>
      <c r="AM625" s="14"/>
      <c r="AN625" s="14"/>
      <c r="AO625" s="14"/>
    </row>
    <row r="626" spans="1:41" ht="20" customHeight="1">
      <c r="A626" s="10"/>
      <c r="B626" s="13"/>
      <c r="C626" s="13"/>
      <c r="D626" s="13"/>
      <c r="E626" s="13"/>
      <c r="F626" s="16"/>
      <c r="G626" s="13"/>
      <c r="H626" s="13"/>
      <c r="I626" s="13"/>
      <c r="J626" s="13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  <c r="AI626" s="14"/>
      <c r="AJ626" s="14"/>
      <c r="AK626" s="14"/>
      <c r="AL626" s="14"/>
      <c r="AM626" s="14"/>
      <c r="AN626" s="14"/>
      <c r="AO626" s="14"/>
    </row>
    <row r="627" spans="1:41" ht="20" customHeight="1">
      <c r="A627" s="10"/>
      <c r="B627" s="13"/>
      <c r="C627" s="13"/>
      <c r="D627" s="13"/>
      <c r="E627" s="13"/>
      <c r="F627" s="16"/>
      <c r="G627" s="13"/>
      <c r="H627" s="13"/>
      <c r="I627" s="13"/>
      <c r="J627" s="13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  <c r="AI627" s="14"/>
      <c r="AJ627" s="14"/>
      <c r="AK627" s="14"/>
      <c r="AL627" s="14"/>
      <c r="AM627" s="14"/>
      <c r="AN627" s="14"/>
      <c r="AO627" s="14"/>
    </row>
    <row r="628" spans="1:41" ht="20" customHeight="1">
      <c r="A628" s="10"/>
      <c r="B628" s="13"/>
      <c r="C628" s="13"/>
      <c r="D628" s="13"/>
      <c r="E628" s="13"/>
      <c r="F628" s="16"/>
      <c r="G628" s="13"/>
      <c r="H628" s="13"/>
      <c r="I628" s="13"/>
      <c r="J628" s="13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  <c r="AI628" s="14"/>
      <c r="AJ628" s="14"/>
      <c r="AK628" s="14"/>
      <c r="AL628" s="14"/>
      <c r="AM628" s="14"/>
      <c r="AN628" s="14"/>
      <c r="AO628" s="14"/>
    </row>
    <row r="629" spans="1:41" ht="20" customHeight="1">
      <c r="A629" s="10"/>
      <c r="B629" s="13"/>
      <c r="C629" s="13"/>
      <c r="D629" s="13"/>
      <c r="E629" s="13"/>
      <c r="F629" s="16"/>
      <c r="G629" s="13"/>
      <c r="H629" s="13"/>
      <c r="I629" s="13"/>
      <c r="J629" s="13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  <c r="AI629" s="14"/>
      <c r="AJ629" s="14"/>
      <c r="AK629" s="14"/>
      <c r="AL629" s="14"/>
      <c r="AM629" s="14"/>
      <c r="AN629" s="14"/>
      <c r="AO629" s="14"/>
    </row>
    <row r="630" spans="1:41" ht="20" customHeight="1">
      <c r="A630" s="10"/>
      <c r="B630" s="13"/>
      <c r="C630" s="13"/>
      <c r="D630" s="13"/>
      <c r="E630" s="13"/>
      <c r="F630" s="16"/>
      <c r="G630" s="13"/>
      <c r="H630" s="13"/>
      <c r="I630" s="13"/>
      <c r="J630" s="13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  <c r="AI630" s="14"/>
      <c r="AJ630" s="14"/>
      <c r="AK630" s="14"/>
      <c r="AL630" s="14"/>
      <c r="AM630" s="14"/>
      <c r="AN630" s="14"/>
      <c r="AO630" s="14"/>
    </row>
    <row r="631" spans="1:41" ht="20" customHeight="1">
      <c r="A631" s="10"/>
      <c r="B631" s="13"/>
      <c r="C631" s="13"/>
      <c r="D631" s="13"/>
      <c r="E631" s="13"/>
      <c r="F631" s="16"/>
      <c r="G631" s="13"/>
      <c r="H631" s="13"/>
      <c r="I631" s="13"/>
      <c r="J631" s="13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  <c r="AI631" s="14"/>
      <c r="AJ631" s="14"/>
      <c r="AK631" s="14"/>
      <c r="AL631" s="14"/>
      <c r="AM631" s="14"/>
      <c r="AN631" s="14"/>
      <c r="AO631" s="14"/>
    </row>
    <row r="632" spans="1:41" ht="20" customHeight="1">
      <c r="A632" s="10"/>
      <c r="B632" s="13"/>
      <c r="C632" s="13"/>
      <c r="D632" s="13"/>
      <c r="E632" s="13"/>
      <c r="F632" s="16"/>
      <c r="G632" s="13"/>
      <c r="H632" s="13"/>
      <c r="I632" s="13"/>
      <c r="J632" s="13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  <c r="AI632" s="14"/>
      <c r="AJ632" s="14"/>
      <c r="AK632" s="14"/>
      <c r="AL632" s="14"/>
      <c r="AM632" s="14"/>
      <c r="AN632" s="14"/>
      <c r="AO632" s="14"/>
    </row>
    <row r="633" spans="1:41" ht="20" customHeight="1">
      <c r="A633" s="10"/>
      <c r="B633" s="13"/>
      <c r="C633" s="13"/>
      <c r="D633" s="13"/>
      <c r="E633" s="13"/>
      <c r="F633" s="16"/>
      <c r="G633" s="13"/>
      <c r="H633" s="13"/>
      <c r="I633" s="13"/>
      <c r="J633" s="13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  <c r="AI633" s="14"/>
      <c r="AJ633" s="14"/>
      <c r="AK633" s="14"/>
      <c r="AL633" s="14"/>
      <c r="AM633" s="14"/>
      <c r="AN633" s="14"/>
      <c r="AO633" s="14"/>
    </row>
    <row r="634" spans="1:41" ht="20" customHeight="1">
      <c r="A634" s="10"/>
      <c r="B634" s="13"/>
      <c r="C634" s="13"/>
      <c r="D634" s="13"/>
      <c r="E634" s="13"/>
      <c r="F634" s="16"/>
      <c r="G634" s="13"/>
      <c r="H634" s="13"/>
      <c r="I634" s="13"/>
      <c r="J634" s="13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  <c r="AI634" s="14"/>
      <c r="AJ634" s="14"/>
      <c r="AK634" s="14"/>
      <c r="AL634" s="14"/>
      <c r="AM634" s="14"/>
      <c r="AN634" s="14"/>
      <c r="AO634" s="14"/>
    </row>
    <row r="635" spans="1:41" ht="20" customHeight="1">
      <c r="A635" s="10"/>
      <c r="B635" s="13"/>
      <c r="C635" s="13"/>
      <c r="D635" s="13"/>
      <c r="E635" s="13"/>
      <c r="F635" s="16"/>
      <c r="G635" s="13"/>
      <c r="H635" s="13"/>
      <c r="I635" s="13"/>
      <c r="J635" s="13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  <c r="AI635" s="14"/>
      <c r="AJ635" s="14"/>
      <c r="AK635" s="14"/>
      <c r="AL635" s="14"/>
      <c r="AM635" s="14"/>
      <c r="AN635" s="14"/>
      <c r="AO635" s="14"/>
    </row>
    <row r="636" spans="1:41" ht="20" customHeight="1">
      <c r="A636" s="10"/>
      <c r="B636" s="13"/>
      <c r="C636" s="13"/>
      <c r="D636" s="13"/>
      <c r="E636" s="13"/>
      <c r="F636" s="16"/>
      <c r="G636" s="13"/>
      <c r="H636" s="13"/>
      <c r="I636" s="13"/>
      <c r="J636" s="13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  <c r="AI636" s="14"/>
      <c r="AJ636" s="14"/>
      <c r="AK636" s="14"/>
      <c r="AL636" s="14"/>
      <c r="AM636" s="14"/>
      <c r="AN636" s="14"/>
      <c r="AO636" s="14"/>
    </row>
    <row r="637" spans="1:41" ht="20" customHeight="1">
      <c r="A637" s="10"/>
      <c r="B637" s="13"/>
      <c r="C637" s="13"/>
      <c r="D637" s="13"/>
      <c r="E637" s="13"/>
      <c r="F637" s="16"/>
      <c r="G637" s="13"/>
      <c r="H637" s="13"/>
      <c r="I637" s="13"/>
      <c r="J637" s="13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  <c r="AI637" s="14"/>
      <c r="AJ637" s="14"/>
      <c r="AK637" s="14"/>
      <c r="AL637" s="14"/>
      <c r="AM637" s="14"/>
      <c r="AN637" s="14"/>
      <c r="AO637" s="14"/>
    </row>
    <row r="638" spans="1:41" ht="20" customHeight="1">
      <c r="A638" s="10"/>
      <c r="B638" s="13"/>
      <c r="C638" s="13"/>
      <c r="D638" s="13"/>
      <c r="E638" s="13"/>
      <c r="F638" s="16"/>
      <c r="G638" s="13"/>
      <c r="H638" s="13"/>
      <c r="I638" s="13"/>
      <c r="J638" s="13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  <c r="AI638" s="14"/>
      <c r="AJ638" s="14"/>
      <c r="AK638" s="14"/>
      <c r="AL638" s="14"/>
      <c r="AM638" s="14"/>
      <c r="AN638" s="14"/>
      <c r="AO638" s="14"/>
    </row>
    <row r="639" spans="1:41" ht="20" customHeight="1">
      <c r="A639" s="10"/>
      <c r="B639" s="13"/>
      <c r="C639" s="13"/>
      <c r="D639" s="13"/>
      <c r="E639" s="13"/>
      <c r="F639" s="16"/>
      <c r="G639" s="13"/>
      <c r="H639" s="13"/>
      <c r="I639" s="13"/>
      <c r="J639" s="13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  <c r="AI639" s="14"/>
      <c r="AJ639" s="14"/>
      <c r="AK639" s="14"/>
      <c r="AL639" s="14"/>
      <c r="AM639" s="14"/>
      <c r="AN639" s="14"/>
      <c r="AO639" s="14"/>
    </row>
    <row r="640" spans="1:41" ht="20" customHeight="1">
      <c r="A640" s="10"/>
      <c r="B640" s="13"/>
      <c r="C640" s="13"/>
      <c r="D640" s="13"/>
      <c r="E640" s="13"/>
      <c r="F640" s="16"/>
      <c r="G640" s="13"/>
      <c r="H640" s="13"/>
      <c r="I640" s="13"/>
      <c r="J640" s="13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  <c r="AI640" s="14"/>
      <c r="AJ640" s="14"/>
      <c r="AK640" s="14"/>
      <c r="AL640" s="14"/>
      <c r="AM640" s="14"/>
      <c r="AN640" s="14"/>
      <c r="AO640" s="14"/>
    </row>
    <row r="641" spans="1:41" ht="20" customHeight="1">
      <c r="A641" s="10"/>
      <c r="B641" s="13"/>
      <c r="C641" s="13"/>
      <c r="D641" s="13"/>
      <c r="E641" s="13"/>
      <c r="F641" s="16"/>
      <c r="G641" s="13"/>
      <c r="H641" s="13"/>
      <c r="I641" s="13"/>
      <c r="J641" s="13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  <c r="AI641" s="14"/>
      <c r="AJ641" s="14"/>
      <c r="AK641" s="14"/>
      <c r="AL641" s="14"/>
      <c r="AM641" s="14"/>
      <c r="AN641" s="14"/>
      <c r="AO641" s="14"/>
    </row>
    <row r="642" spans="1:41" ht="20" customHeight="1">
      <c r="A642" s="10"/>
      <c r="B642" s="13"/>
      <c r="C642" s="13"/>
      <c r="D642" s="13"/>
      <c r="E642" s="13"/>
      <c r="F642" s="16"/>
      <c r="G642" s="13"/>
      <c r="H642" s="13"/>
      <c r="I642" s="13"/>
      <c r="J642" s="13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  <c r="AI642" s="14"/>
      <c r="AJ642" s="14"/>
      <c r="AK642" s="14"/>
      <c r="AL642" s="14"/>
      <c r="AM642" s="14"/>
      <c r="AN642" s="14"/>
      <c r="AO642" s="14"/>
    </row>
    <row r="643" spans="1:41" ht="20" customHeight="1">
      <c r="A643" s="10"/>
      <c r="B643" s="13"/>
      <c r="C643" s="13"/>
      <c r="D643" s="13"/>
      <c r="E643" s="13"/>
      <c r="F643" s="16"/>
      <c r="G643" s="13"/>
      <c r="H643" s="13"/>
      <c r="I643" s="13"/>
      <c r="J643" s="13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  <c r="AI643" s="14"/>
      <c r="AJ643" s="14"/>
      <c r="AK643" s="14"/>
      <c r="AL643" s="14"/>
      <c r="AM643" s="14"/>
      <c r="AN643" s="14"/>
      <c r="AO643" s="14"/>
    </row>
    <row r="644" spans="1:41" ht="20" customHeight="1">
      <c r="A644" s="10"/>
      <c r="B644" s="13"/>
      <c r="C644" s="13"/>
      <c r="D644" s="13"/>
      <c r="E644" s="13"/>
      <c r="F644" s="16"/>
      <c r="G644" s="13"/>
      <c r="H644" s="13"/>
      <c r="I644" s="13"/>
      <c r="J644" s="13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  <c r="AI644" s="14"/>
      <c r="AJ644" s="14"/>
      <c r="AK644" s="14"/>
      <c r="AL644" s="14"/>
      <c r="AM644" s="14"/>
      <c r="AN644" s="14"/>
      <c r="AO644" s="14"/>
    </row>
    <row r="645" spans="1:41" ht="20" customHeight="1">
      <c r="A645" s="10"/>
      <c r="B645" s="13"/>
      <c r="C645" s="13"/>
      <c r="D645" s="13"/>
      <c r="E645" s="13"/>
      <c r="F645" s="16"/>
      <c r="G645" s="13"/>
      <c r="H645" s="13"/>
      <c r="I645" s="13"/>
      <c r="J645" s="13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  <c r="AI645" s="14"/>
      <c r="AJ645" s="14"/>
      <c r="AK645" s="14"/>
      <c r="AL645" s="14"/>
      <c r="AM645" s="14"/>
      <c r="AN645" s="14"/>
      <c r="AO645" s="14"/>
    </row>
    <row r="646" spans="1:41" ht="20" customHeight="1">
      <c r="A646" s="10"/>
      <c r="B646" s="13"/>
      <c r="C646" s="13"/>
      <c r="D646" s="13"/>
      <c r="E646" s="13"/>
      <c r="F646" s="16"/>
      <c r="G646" s="13"/>
      <c r="H646" s="13"/>
      <c r="I646" s="13"/>
      <c r="J646" s="13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  <c r="AI646" s="14"/>
      <c r="AJ646" s="14"/>
      <c r="AK646" s="14"/>
      <c r="AL646" s="14"/>
      <c r="AM646" s="14"/>
      <c r="AN646" s="14"/>
      <c r="AO646" s="14"/>
    </row>
    <row r="647" spans="1:41" ht="20" customHeight="1">
      <c r="A647" s="10"/>
      <c r="B647" s="13"/>
      <c r="C647" s="13"/>
      <c r="D647" s="13"/>
      <c r="E647" s="13"/>
      <c r="F647" s="16"/>
      <c r="G647" s="13"/>
      <c r="H647" s="13"/>
      <c r="I647" s="13"/>
      <c r="J647" s="13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  <c r="AI647" s="14"/>
      <c r="AJ647" s="14"/>
      <c r="AK647" s="14"/>
      <c r="AL647" s="14"/>
      <c r="AM647" s="14"/>
      <c r="AN647" s="14"/>
      <c r="AO647" s="14"/>
    </row>
    <row r="648" spans="1:41" ht="20" customHeight="1">
      <c r="A648" s="10"/>
      <c r="B648" s="13"/>
      <c r="C648" s="13"/>
      <c r="D648" s="13"/>
      <c r="E648" s="13"/>
      <c r="F648" s="16"/>
      <c r="G648" s="13"/>
      <c r="H648" s="13"/>
      <c r="I648" s="13"/>
      <c r="J648" s="13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  <c r="AI648" s="14"/>
      <c r="AJ648" s="14"/>
      <c r="AK648" s="14"/>
      <c r="AL648" s="14"/>
      <c r="AM648" s="14"/>
      <c r="AN648" s="14"/>
      <c r="AO648" s="14"/>
    </row>
    <row r="649" spans="1:41" ht="20" customHeight="1">
      <c r="A649" s="10"/>
      <c r="B649" s="13"/>
      <c r="C649" s="13"/>
      <c r="D649" s="13"/>
      <c r="E649" s="13"/>
      <c r="F649" s="16"/>
      <c r="G649" s="13"/>
      <c r="H649" s="13"/>
      <c r="I649" s="13"/>
      <c r="J649" s="13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  <c r="AI649" s="14"/>
      <c r="AJ649" s="14"/>
      <c r="AK649" s="14"/>
      <c r="AL649" s="14"/>
      <c r="AM649" s="14"/>
      <c r="AN649" s="14"/>
      <c r="AO649" s="14"/>
    </row>
    <row r="650" spans="1:41" ht="20" customHeight="1">
      <c r="A650" s="10"/>
      <c r="B650" s="13"/>
      <c r="C650" s="13"/>
      <c r="D650" s="13"/>
      <c r="E650" s="13"/>
      <c r="F650" s="16"/>
      <c r="G650" s="13"/>
      <c r="H650" s="13"/>
      <c r="I650" s="13"/>
      <c r="J650" s="13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  <c r="AI650" s="14"/>
      <c r="AJ650" s="14"/>
      <c r="AK650" s="14"/>
      <c r="AL650" s="14"/>
      <c r="AM650" s="14"/>
      <c r="AN650" s="14"/>
      <c r="AO650" s="14"/>
    </row>
    <row r="651" spans="1:41" ht="20" customHeight="1">
      <c r="A651" s="10"/>
      <c r="B651" s="13"/>
      <c r="C651" s="13"/>
      <c r="D651" s="13"/>
      <c r="E651" s="13"/>
      <c r="F651" s="16"/>
      <c r="G651" s="13"/>
      <c r="H651" s="13"/>
      <c r="I651" s="13"/>
      <c r="J651" s="13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  <c r="AI651" s="14"/>
      <c r="AJ651" s="14"/>
      <c r="AK651" s="14"/>
      <c r="AL651" s="14"/>
      <c r="AM651" s="14"/>
      <c r="AN651" s="14"/>
      <c r="AO651" s="14"/>
    </row>
    <row r="652" spans="1:41" ht="20" customHeight="1">
      <c r="A652" s="10"/>
      <c r="B652" s="13"/>
      <c r="C652" s="13"/>
      <c r="D652" s="13"/>
      <c r="E652" s="13"/>
      <c r="F652" s="16"/>
      <c r="G652" s="13"/>
      <c r="H652" s="13"/>
      <c r="I652" s="13"/>
      <c r="J652" s="13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  <c r="AI652" s="14"/>
      <c r="AJ652" s="14"/>
      <c r="AK652" s="14"/>
      <c r="AL652" s="14"/>
      <c r="AM652" s="14"/>
      <c r="AN652" s="14"/>
      <c r="AO652" s="14"/>
    </row>
    <row r="653" spans="1:41" ht="20" customHeight="1">
      <c r="A653" s="10"/>
      <c r="B653" s="13"/>
      <c r="C653" s="13"/>
      <c r="D653" s="13"/>
      <c r="E653" s="13"/>
      <c r="F653" s="16"/>
      <c r="G653" s="13"/>
      <c r="H653" s="13"/>
      <c r="I653" s="13"/>
      <c r="J653" s="13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  <c r="AI653" s="14"/>
      <c r="AJ653" s="14"/>
      <c r="AK653" s="14"/>
      <c r="AL653" s="14"/>
      <c r="AM653" s="14"/>
      <c r="AN653" s="14"/>
      <c r="AO653" s="14"/>
    </row>
    <row r="654" spans="1:41" ht="20" customHeight="1">
      <c r="A654" s="10"/>
      <c r="B654" s="13"/>
      <c r="C654" s="13"/>
      <c r="D654" s="13"/>
      <c r="E654" s="13"/>
      <c r="F654" s="16"/>
      <c r="G654" s="13"/>
      <c r="H654" s="13"/>
      <c r="I654" s="13"/>
      <c r="J654" s="13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  <c r="AI654" s="14"/>
      <c r="AJ654" s="14"/>
      <c r="AK654" s="14"/>
      <c r="AL654" s="14"/>
      <c r="AM654" s="14"/>
      <c r="AN654" s="14"/>
      <c r="AO654" s="14"/>
    </row>
    <row r="655" spans="1:41" ht="20" customHeight="1">
      <c r="A655" s="10"/>
      <c r="B655" s="13"/>
      <c r="C655" s="13"/>
      <c r="D655" s="13"/>
      <c r="E655" s="13"/>
      <c r="F655" s="16"/>
      <c r="G655" s="13"/>
      <c r="H655" s="13"/>
      <c r="I655" s="13"/>
      <c r="J655" s="13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  <c r="AI655" s="14"/>
      <c r="AJ655" s="14"/>
      <c r="AK655" s="14"/>
      <c r="AL655" s="14"/>
      <c r="AM655" s="14"/>
      <c r="AN655" s="14"/>
      <c r="AO655" s="14"/>
    </row>
    <row r="656" spans="1:41" ht="20" customHeight="1">
      <c r="A656" s="10"/>
      <c r="B656" s="13"/>
      <c r="C656" s="13"/>
      <c r="D656" s="13"/>
      <c r="E656" s="13"/>
      <c r="F656" s="16"/>
      <c r="G656" s="13"/>
      <c r="H656" s="13"/>
      <c r="I656" s="13"/>
      <c r="J656" s="13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  <c r="AI656" s="14"/>
      <c r="AJ656" s="14"/>
      <c r="AK656" s="14"/>
      <c r="AL656" s="14"/>
      <c r="AM656" s="14"/>
      <c r="AN656" s="14"/>
      <c r="AO656" s="14"/>
    </row>
    <row r="657" spans="1:41" ht="20" customHeight="1">
      <c r="A657" s="10"/>
      <c r="B657" s="13"/>
      <c r="C657" s="13"/>
      <c r="D657" s="13"/>
      <c r="E657" s="13"/>
      <c r="F657" s="16"/>
      <c r="G657" s="13"/>
      <c r="H657" s="13"/>
      <c r="I657" s="13"/>
      <c r="J657" s="13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  <c r="AI657" s="14"/>
      <c r="AJ657" s="14"/>
      <c r="AK657" s="14"/>
      <c r="AL657" s="14"/>
      <c r="AM657" s="14"/>
      <c r="AN657" s="14"/>
      <c r="AO657" s="14"/>
    </row>
    <row r="658" spans="1:41" ht="20" customHeight="1">
      <c r="A658" s="10"/>
      <c r="B658" s="13"/>
      <c r="C658" s="13"/>
      <c r="D658" s="13"/>
      <c r="E658" s="13"/>
      <c r="F658" s="16"/>
      <c r="G658" s="13"/>
      <c r="H658" s="13"/>
      <c r="I658" s="13"/>
      <c r="J658" s="13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  <c r="AI658" s="14"/>
      <c r="AJ658" s="14"/>
      <c r="AK658" s="14"/>
      <c r="AL658" s="14"/>
      <c r="AM658" s="14"/>
      <c r="AN658" s="14"/>
      <c r="AO658" s="14"/>
    </row>
    <row r="659" spans="1:41" ht="20" customHeight="1">
      <c r="A659" s="10"/>
      <c r="B659" s="13"/>
      <c r="C659" s="13"/>
      <c r="D659" s="13"/>
      <c r="E659" s="13"/>
      <c r="F659" s="16"/>
      <c r="G659" s="13"/>
      <c r="H659" s="13"/>
      <c r="I659" s="13"/>
      <c r="J659" s="13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  <c r="AI659" s="14"/>
      <c r="AJ659" s="14"/>
      <c r="AK659" s="14"/>
      <c r="AL659" s="14"/>
      <c r="AM659" s="14"/>
      <c r="AN659" s="14"/>
      <c r="AO659" s="14"/>
    </row>
    <row r="660" spans="1:41" ht="20" customHeight="1">
      <c r="A660" s="10"/>
      <c r="B660" s="13"/>
      <c r="C660" s="13"/>
      <c r="D660" s="13"/>
      <c r="E660" s="13"/>
      <c r="F660" s="16"/>
      <c r="G660" s="13"/>
      <c r="H660" s="13"/>
      <c r="I660" s="13"/>
      <c r="J660" s="13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  <c r="AI660" s="14"/>
      <c r="AJ660" s="14"/>
      <c r="AK660" s="14"/>
      <c r="AL660" s="14"/>
      <c r="AM660" s="14"/>
      <c r="AN660" s="14"/>
      <c r="AO660" s="14"/>
    </row>
    <row r="661" spans="1:41" ht="20" customHeight="1">
      <c r="A661" s="10"/>
      <c r="B661" s="13"/>
      <c r="C661" s="13"/>
      <c r="D661" s="13"/>
      <c r="E661" s="13"/>
      <c r="F661" s="16"/>
      <c r="G661" s="13"/>
      <c r="H661" s="13"/>
      <c r="I661" s="13"/>
      <c r="J661" s="13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  <c r="AI661" s="14"/>
      <c r="AJ661" s="14"/>
      <c r="AK661" s="14"/>
      <c r="AL661" s="14"/>
      <c r="AM661" s="14"/>
      <c r="AN661" s="14"/>
      <c r="AO661" s="14"/>
    </row>
    <row r="662" spans="1:41" ht="20" customHeight="1">
      <c r="A662" s="10"/>
      <c r="B662" s="13"/>
      <c r="C662" s="13"/>
      <c r="D662" s="13"/>
      <c r="E662" s="13"/>
      <c r="F662" s="16"/>
      <c r="G662" s="13"/>
      <c r="H662" s="13"/>
      <c r="I662" s="13"/>
      <c r="J662" s="13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  <c r="AI662" s="14"/>
      <c r="AJ662" s="14"/>
      <c r="AK662" s="14"/>
      <c r="AL662" s="14"/>
      <c r="AM662" s="14"/>
      <c r="AN662" s="14"/>
      <c r="AO662" s="14"/>
    </row>
    <row r="663" spans="1:41" ht="20" customHeight="1">
      <c r="A663" s="10"/>
      <c r="B663" s="13"/>
      <c r="C663" s="13"/>
      <c r="D663" s="13"/>
      <c r="E663" s="13"/>
      <c r="F663" s="16"/>
      <c r="G663" s="13"/>
      <c r="H663" s="13"/>
      <c r="I663" s="13"/>
      <c r="J663" s="13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  <c r="AI663" s="14"/>
      <c r="AJ663" s="14"/>
      <c r="AK663" s="14"/>
      <c r="AL663" s="14"/>
      <c r="AM663" s="14"/>
      <c r="AN663" s="14"/>
      <c r="AO663" s="14"/>
    </row>
    <row r="664" spans="1:41" ht="20" customHeight="1">
      <c r="A664" s="10"/>
      <c r="B664" s="13"/>
      <c r="C664" s="13"/>
      <c r="D664" s="13"/>
      <c r="E664" s="13"/>
      <c r="F664" s="16"/>
      <c r="G664" s="13"/>
      <c r="H664" s="13"/>
      <c r="I664" s="13"/>
      <c r="J664" s="13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  <c r="AI664" s="14"/>
      <c r="AJ664" s="14"/>
      <c r="AK664" s="14"/>
      <c r="AL664" s="14"/>
      <c r="AM664" s="14"/>
      <c r="AN664" s="14"/>
      <c r="AO664" s="14"/>
    </row>
    <row r="665" spans="1:41" ht="20" customHeight="1">
      <c r="A665" s="10"/>
      <c r="B665" s="13"/>
      <c r="C665" s="13"/>
      <c r="D665" s="13"/>
      <c r="E665" s="13"/>
      <c r="F665" s="16"/>
      <c r="G665" s="13"/>
      <c r="H665" s="13"/>
      <c r="I665" s="13"/>
      <c r="J665" s="13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  <c r="AI665" s="14"/>
      <c r="AJ665" s="14"/>
      <c r="AK665" s="14"/>
      <c r="AL665" s="14"/>
      <c r="AM665" s="14"/>
      <c r="AN665" s="14"/>
      <c r="AO665" s="14"/>
    </row>
    <row r="666" spans="1:41" ht="20" customHeight="1">
      <c r="A666" s="10"/>
      <c r="B666" s="13"/>
      <c r="C666" s="13"/>
      <c r="D666" s="13"/>
      <c r="E666" s="13"/>
      <c r="F666" s="16"/>
      <c r="G666" s="13"/>
      <c r="H666" s="13"/>
      <c r="I666" s="13"/>
      <c r="J666" s="13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  <c r="AI666" s="14"/>
      <c r="AJ666" s="14"/>
      <c r="AK666" s="14"/>
      <c r="AL666" s="14"/>
      <c r="AM666" s="14"/>
      <c r="AN666" s="14"/>
      <c r="AO666" s="14"/>
    </row>
    <row r="667" spans="1:41" ht="20" customHeight="1">
      <c r="A667" s="10"/>
      <c r="B667" s="13"/>
      <c r="C667" s="13"/>
      <c r="D667" s="13"/>
      <c r="E667" s="13"/>
      <c r="F667" s="16"/>
      <c r="G667" s="13"/>
      <c r="H667" s="13"/>
      <c r="I667" s="13"/>
      <c r="J667" s="13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  <c r="AI667" s="14"/>
      <c r="AJ667" s="14"/>
      <c r="AK667" s="14"/>
      <c r="AL667" s="14"/>
      <c r="AM667" s="14"/>
      <c r="AN667" s="14"/>
      <c r="AO667" s="14"/>
    </row>
    <row r="668" spans="1:41" ht="20" customHeight="1">
      <c r="A668" s="10"/>
      <c r="B668" s="13"/>
      <c r="C668" s="13"/>
      <c r="D668" s="13"/>
      <c r="E668" s="13"/>
      <c r="F668" s="16"/>
      <c r="G668" s="13"/>
      <c r="H668" s="13"/>
      <c r="I668" s="13"/>
      <c r="J668" s="13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  <c r="AI668" s="14"/>
      <c r="AJ668" s="14"/>
      <c r="AK668" s="14"/>
      <c r="AL668" s="14"/>
      <c r="AM668" s="14"/>
      <c r="AN668" s="14"/>
      <c r="AO668" s="14"/>
    </row>
    <row r="669" spans="1:41" ht="20" customHeight="1">
      <c r="A669" s="10"/>
      <c r="B669" s="13"/>
      <c r="C669" s="13"/>
      <c r="D669" s="13"/>
      <c r="E669" s="13"/>
      <c r="F669" s="16"/>
      <c r="G669" s="13"/>
      <c r="H669" s="13"/>
      <c r="I669" s="13"/>
      <c r="J669" s="13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  <c r="AI669" s="14"/>
      <c r="AJ669" s="14"/>
      <c r="AK669" s="14"/>
      <c r="AL669" s="14"/>
      <c r="AM669" s="14"/>
      <c r="AN669" s="14"/>
      <c r="AO669" s="14"/>
    </row>
    <row r="670" spans="1:41" ht="20" customHeight="1">
      <c r="A670" s="10"/>
      <c r="B670" s="13"/>
      <c r="C670" s="13"/>
      <c r="D670" s="13"/>
      <c r="E670" s="13"/>
      <c r="F670" s="16"/>
      <c r="G670" s="13"/>
      <c r="H670" s="13"/>
      <c r="I670" s="13"/>
      <c r="J670" s="13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  <c r="AI670" s="14"/>
      <c r="AJ670" s="14"/>
      <c r="AK670" s="14"/>
      <c r="AL670" s="14"/>
      <c r="AM670" s="14"/>
      <c r="AN670" s="14"/>
      <c r="AO670" s="14"/>
    </row>
    <row r="671" spans="1:41" ht="20" customHeight="1">
      <c r="A671" s="10"/>
      <c r="B671" s="13"/>
      <c r="C671" s="13"/>
      <c r="D671" s="13"/>
      <c r="E671" s="13"/>
      <c r="F671" s="16"/>
      <c r="G671" s="13"/>
      <c r="H671" s="13"/>
      <c r="I671" s="13"/>
      <c r="J671" s="13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  <c r="AI671" s="14"/>
      <c r="AJ671" s="14"/>
      <c r="AK671" s="14"/>
      <c r="AL671" s="14"/>
      <c r="AM671" s="14"/>
      <c r="AN671" s="14"/>
      <c r="AO671" s="14"/>
    </row>
    <row r="672" spans="1:41" ht="20" customHeight="1">
      <c r="A672" s="10"/>
      <c r="B672" s="13"/>
      <c r="C672" s="13"/>
      <c r="D672" s="13"/>
      <c r="E672" s="13"/>
      <c r="F672" s="16"/>
      <c r="G672" s="13"/>
      <c r="H672" s="13"/>
      <c r="I672" s="13"/>
      <c r="J672" s="13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  <c r="AI672" s="14"/>
      <c r="AJ672" s="14"/>
      <c r="AK672" s="14"/>
      <c r="AL672" s="14"/>
      <c r="AM672" s="14"/>
      <c r="AN672" s="14"/>
      <c r="AO672" s="14"/>
    </row>
    <row r="673" spans="1:41" ht="20" customHeight="1">
      <c r="A673" s="10"/>
      <c r="B673" s="13"/>
      <c r="C673" s="13"/>
      <c r="D673" s="13"/>
      <c r="E673" s="13"/>
      <c r="F673" s="16"/>
      <c r="G673" s="13"/>
      <c r="H673" s="13"/>
      <c r="I673" s="13"/>
      <c r="J673" s="13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  <c r="AI673" s="14"/>
      <c r="AJ673" s="14"/>
      <c r="AK673" s="14"/>
      <c r="AL673" s="14"/>
      <c r="AM673" s="14"/>
      <c r="AN673" s="14"/>
      <c r="AO673" s="14"/>
    </row>
    <row r="674" spans="1:41" ht="20" customHeight="1">
      <c r="A674" s="10"/>
      <c r="B674" s="13"/>
      <c r="C674" s="13"/>
      <c r="D674" s="13"/>
      <c r="E674" s="13"/>
      <c r="F674" s="16"/>
      <c r="G674" s="13"/>
      <c r="H674" s="13"/>
      <c r="I674" s="13"/>
      <c r="J674" s="13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  <c r="AI674" s="14"/>
      <c r="AJ674" s="14"/>
      <c r="AK674" s="14"/>
      <c r="AL674" s="14"/>
      <c r="AM674" s="14"/>
      <c r="AN674" s="14"/>
      <c r="AO674" s="14"/>
    </row>
    <row r="675" spans="1:41" ht="20" customHeight="1">
      <c r="A675" s="10"/>
      <c r="B675" s="13"/>
      <c r="C675" s="13"/>
      <c r="D675" s="13"/>
      <c r="E675" s="13"/>
      <c r="F675" s="16"/>
      <c r="G675" s="13"/>
      <c r="H675" s="13"/>
      <c r="I675" s="13"/>
      <c r="J675" s="13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  <c r="AI675" s="14"/>
      <c r="AJ675" s="14"/>
      <c r="AK675" s="14"/>
      <c r="AL675" s="14"/>
      <c r="AM675" s="14"/>
      <c r="AN675" s="14"/>
      <c r="AO675" s="14"/>
    </row>
    <row r="676" spans="1:41" ht="20" customHeight="1">
      <c r="A676" s="10"/>
      <c r="B676" s="13"/>
      <c r="C676" s="13"/>
      <c r="D676" s="13"/>
      <c r="E676" s="13"/>
      <c r="F676" s="16"/>
      <c r="G676" s="13"/>
      <c r="H676" s="13"/>
      <c r="I676" s="13"/>
      <c r="J676" s="13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  <c r="AI676" s="14"/>
      <c r="AJ676" s="14"/>
      <c r="AK676" s="14"/>
      <c r="AL676" s="14"/>
      <c r="AM676" s="14"/>
      <c r="AN676" s="14"/>
      <c r="AO676" s="14"/>
    </row>
    <row r="677" spans="1:41" ht="20" customHeight="1">
      <c r="A677" s="10"/>
      <c r="B677" s="13"/>
      <c r="C677" s="13"/>
      <c r="D677" s="13"/>
      <c r="E677" s="13"/>
      <c r="F677" s="16"/>
      <c r="G677" s="13"/>
      <c r="H677" s="13"/>
      <c r="I677" s="13"/>
      <c r="J677" s="13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  <c r="AI677" s="14"/>
      <c r="AJ677" s="14"/>
      <c r="AK677" s="14"/>
      <c r="AL677" s="14"/>
      <c r="AM677" s="14"/>
      <c r="AN677" s="14"/>
      <c r="AO677" s="14"/>
    </row>
    <row r="678" spans="1:41" ht="20" customHeight="1">
      <c r="A678" s="10"/>
      <c r="B678" s="13"/>
      <c r="C678" s="13"/>
      <c r="D678" s="13"/>
      <c r="E678" s="13"/>
      <c r="F678" s="16"/>
      <c r="G678" s="13"/>
      <c r="H678" s="13"/>
      <c r="I678" s="13"/>
      <c r="J678" s="13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  <c r="AI678" s="14"/>
      <c r="AJ678" s="14"/>
      <c r="AK678" s="14"/>
      <c r="AL678" s="14"/>
      <c r="AM678" s="14"/>
      <c r="AN678" s="14"/>
      <c r="AO678" s="14"/>
    </row>
    <row r="679" spans="1:41" ht="20" customHeight="1">
      <c r="A679" s="10"/>
      <c r="B679" s="13"/>
      <c r="C679" s="13"/>
      <c r="D679" s="13"/>
      <c r="E679" s="13"/>
      <c r="F679" s="16"/>
      <c r="G679" s="13"/>
      <c r="H679" s="13"/>
      <c r="I679" s="13"/>
      <c r="J679" s="13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  <c r="AI679" s="14"/>
      <c r="AJ679" s="14"/>
      <c r="AK679" s="14"/>
      <c r="AL679" s="14"/>
      <c r="AM679" s="14"/>
      <c r="AN679" s="14"/>
      <c r="AO679" s="14"/>
    </row>
    <row r="680" spans="1:41" ht="20" customHeight="1">
      <c r="A680" s="10"/>
      <c r="B680" s="13"/>
      <c r="C680" s="13"/>
      <c r="D680" s="13"/>
      <c r="E680" s="13"/>
      <c r="F680" s="16"/>
      <c r="G680" s="13"/>
      <c r="H680" s="13"/>
      <c r="I680" s="13"/>
      <c r="J680" s="13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  <c r="AI680" s="14"/>
      <c r="AJ680" s="14"/>
      <c r="AK680" s="14"/>
      <c r="AL680" s="14"/>
      <c r="AM680" s="14"/>
      <c r="AN680" s="14"/>
      <c r="AO680" s="14"/>
    </row>
    <row r="681" spans="1:41" ht="20" customHeight="1">
      <c r="A681" s="10"/>
      <c r="B681" s="13"/>
      <c r="C681" s="13"/>
      <c r="D681" s="13"/>
      <c r="E681" s="13"/>
      <c r="F681" s="16"/>
      <c r="G681" s="13"/>
      <c r="H681" s="13"/>
      <c r="I681" s="13"/>
      <c r="J681" s="13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  <c r="AI681" s="14"/>
      <c r="AJ681" s="14"/>
      <c r="AK681" s="14"/>
      <c r="AL681" s="14"/>
      <c r="AM681" s="14"/>
      <c r="AN681" s="14"/>
      <c r="AO681" s="14"/>
    </row>
    <row r="682" spans="1:41" ht="20" customHeight="1">
      <c r="A682" s="10"/>
      <c r="B682" s="13"/>
      <c r="C682" s="13"/>
      <c r="D682" s="13"/>
      <c r="E682" s="13"/>
      <c r="F682" s="16"/>
      <c r="G682" s="13"/>
      <c r="H682" s="13"/>
      <c r="I682" s="13"/>
      <c r="J682" s="13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  <c r="AI682" s="14"/>
      <c r="AJ682" s="14"/>
      <c r="AK682" s="14"/>
      <c r="AL682" s="14"/>
      <c r="AM682" s="14"/>
      <c r="AN682" s="14"/>
      <c r="AO682" s="14"/>
    </row>
    <row r="683" spans="1:41" ht="20" customHeight="1">
      <c r="A683" s="10"/>
      <c r="B683" s="13"/>
      <c r="C683" s="13"/>
      <c r="D683" s="13"/>
      <c r="E683" s="13"/>
      <c r="F683" s="16"/>
      <c r="G683" s="13"/>
      <c r="H683" s="13"/>
      <c r="I683" s="13"/>
      <c r="J683" s="13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  <c r="AI683" s="14"/>
      <c r="AJ683" s="14"/>
      <c r="AK683" s="14"/>
      <c r="AL683" s="14"/>
      <c r="AM683" s="14"/>
      <c r="AN683" s="14"/>
      <c r="AO683" s="14"/>
    </row>
    <row r="684" spans="1:41" ht="20" customHeight="1">
      <c r="A684" s="10"/>
      <c r="B684" s="13"/>
      <c r="C684" s="13"/>
      <c r="D684" s="13"/>
      <c r="E684" s="13"/>
      <c r="F684" s="16"/>
      <c r="G684" s="13"/>
      <c r="H684" s="13"/>
      <c r="I684" s="13"/>
      <c r="J684" s="13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  <c r="AI684" s="14"/>
      <c r="AJ684" s="14"/>
      <c r="AK684" s="14"/>
      <c r="AL684" s="14"/>
      <c r="AM684" s="14"/>
      <c r="AN684" s="14"/>
      <c r="AO684" s="14"/>
    </row>
    <row r="685" spans="1:41" ht="20" customHeight="1">
      <c r="A685" s="10"/>
      <c r="B685" s="13"/>
      <c r="C685" s="13"/>
      <c r="D685" s="13"/>
      <c r="E685" s="13"/>
      <c r="F685" s="16"/>
      <c r="G685" s="13"/>
      <c r="H685" s="13"/>
      <c r="I685" s="13"/>
      <c r="J685" s="13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  <c r="AI685" s="14"/>
      <c r="AJ685" s="14"/>
      <c r="AK685" s="14"/>
      <c r="AL685" s="14"/>
      <c r="AM685" s="14"/>
      <c r="AN685" s="14"/>
      <c r="AO685" s="14"/>
    </row>
    <row r="686" spans="1:41" ht="20" customHeight="1">
      <c r="A686" s="10"/>
      <c r="B686" s="13"/>
      <c r="C686" s="13"/>
      <c r="D686" s="13"/>
      <c r="E686" s="13"/>
      <c r="F686" s="16"/>
      <c r="G686" s="13"/>
      <c r="H686" s="13"/>
      <c r="I686" s="13"/>
      <c r="J686" s="13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  <c r="AI686" s="14"/>
      <c r="AJ686" s="14"/>
      <c r="AK686" s="14"/>
      <c r="AL686" s="14"/>
      <c r="AM686" s="14"/>
      <c r="AN686" s="14"/>
      <c r="AO686" s="14"/>
    </row>
    <row r="687" spans="1:41" ht="20" customHeight="1">
      <c r="A687" s="10"/>
      <c r="B687" s="13"/>
      <c r="C687" s="13"/>
      <c r="D687" s="13"/>
      <c r="E687" s="13"/>
      <c r="F687" s="16"/>
      <c r="G687" s="13"/>
      <c r="H687" s="13"/>
      <c r="I687" s="13"/>
      <c r="J687" s="13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  <c r="AI687" s="14"/>
      <c r="AJ687" s="14"/>
      <c r="AK687" s="14"/>
      <c r="AL687" s="14"/>
      <c r="AM687" s="14"/>
      <c r="AN687" s="14"/>
      <c r="AO687" s="14"/>
    </row>
    <row r="688" spans="1:41" ht="20" customHeight="1">
      <c r="A688" s="10"/>
      <c r="B688" s="13"/>
      <c r="C688" s="13"/>
      <c r="D688" s="13"/>
      <c r="E688" s="13"/>
      <c r="F688" s="16"/>
      <c r="G688" s="13"/>
      <c r="H688" s="13"/>
      <c r="I688" s="13"/>
      <c r="J688" s="13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  <c r="AI688" s="14"/>
      <c r="AJ688" s="14"/>
      <c r="AK688" s="14"/>
      <c r="AL688" s="14"/>
      <c r="AM688" s="14"/>
      <c r="AN688" s="14"/>
      <c r="AO688" s="14"/>
    </row>
    <row r="689" spans="1:41" ht="20" customHeight="1">
      <c r="A689" s="10"/>
      <c r="B689" s="13"/>
      <c r="C689" s="13"/>
      <c r="D689" s="13"/>
      <c r="E689" s="13"/>
      <c r="F689" s="16"/>
      <c r="G689" s="13"/>
      <c r="H689" s="13"/>
      <c r="I689" s="13"/>
      <c r="J689" s="13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  <c r="AI689" s="14"/>
      <c r="AJ689" s="14"/>
      <c r="AK689" s="14"/>
      <c r="AL689" s="14"/>
      <c r="AM689" s="14"/>
      <c r="AN689" s="14"/>
      <c r="AO689" s="14"/>
    </row>
    <row r="690" spans="1:41" ht="20" customHeight="1">
      <c r="A690" s="10"/>
      <c r="B690" s="13"/>
      <c r="C690" s="13"/>
      <c r="D690" s="13"/>
      <c r="E690" s="13"/>
      <c r="F690" s="16"/>
      <c r="G690" s="13"/>
      <c r="H690" s="13"/>
      <c r="I690" s="13"/>
      <c r="J690" s="13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  <c r="AI690" s="14"/>
      <c r="AJ690" s="14"/>
      <c r="AK690" s="14"/>
      <c r="AL690" s="14"/>
      <c r="AM690" s="14"/>
      <c r="AN690" s="14"/>
      <c r="AO690" s="14"/>
    </row>
    <row r="691" spans="1:41" ht="20" customHeight="1">
      <c r="A691" s="10"/>
      <c r="B691" s="13"/>
      <c r="C691" s="13"/>
      <c r="D691" s="13"/>
      <c r="E691" s="13"/>
      <c r="F691" s="16"/>
      <c r="G691" s="13"/>
      <c r="H691" s="13"/>
      <c r="I691" s="13"/>
      <c r="J691" s="13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  <c r="AI691" s="14"/>
      <c r="AJ691" s="14"/>
      <c r="AK691" s="14"/>
      <c r="AL691" s="14"/>
      <c r="AM691" s="14"/>
      <c r="AN691" s="14"/>
      <c r="AO691" s="14"/>
    </row>
    <row r="692" spans="1:41" ht="20" customHeight="1">
      <c r="A692" s="10"/>
      <c r="B692" s="13"/>
      <c r="C692" s="13"/>
      <c r="D692" s="13"/>
      <c r="E692" s="13"/>
      <c r="F692" s="16"/>
      <c r="G692" s="13"/>
      <c r="H692" s="13"/>
      <c r="I692" s="13"/>
      <c r="J692" s="13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  <c r="AI692" s="14"/>
      <c r="AJ692" s="14"/>
      <c r="AK692" s="14"/>
      <c r="AL692" s="14"/>
      <c r="AM692" s="14"/>
      <c r="AN692" s="14"/>
      <c r="AO692" s="14"/>
    </row>
    <row r="693" spans="1:41" ht="20" customHeight="1">
      <c r="A693" s="10"/>
      <c r="B693" s="13"/>
      <c r="C693" s="13"/>
      <c r="D693" s="13"/>
      <c r="E693" s="13"/>
      <c r="F693" s="16"/>
      <c r="G693" s="13"/>
      <c r="H693" s="13"/>
      <c r="I693" s="13"/>
      <c r="J693" s="13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  <c r="AI693" s="14"/>
      <c r="AJ693" s="14"/>
      <c r="AK693" s="14"/>
      <c r="AL693" s="14"/>
      <c r="AM693" s="14"/>
      <c r="AN693" s="14"/>
      <c r="AO693" s="14"/>
    </row>
    <row r="694" spans="1:41" ht="20" customHeight="1">
      <c r="A694" s="10"/>
      <c r="B694" s="13"/>
      <c r="C694" s="13"/>
      <c r="D694" s="13"/>
      <c r="E694" s="13"/>
      <c r="F694" s="16"/>
      <c r="G694" s="13"/>
      <c r="H694" s="13"/>
      <c r="I694" s="13"/>
      <c r="J694" s="13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  <c r="AI694" s="14"/>
      <c r="AJ694" s="14"/>
      <c r="AK694" s="14"/>
      <c r="AL694" s="14"/>
      <c r="AM694" s="14"/>
      <c r="AN694" s="14"/>
      <c r="AO694" s="14"/>
    </row>
    <row r="695" spans="1:41" ht="20" customHeight="1">
      <c r="A695" s="10"/>
      <c r="B695" s="13"/>
      <c r="C695" s="13"/>
      <c r="D695" s="13"/>
      <c r="E695" s="13"/>
      <c r="F695" s="16"/>
      <c r="G695" s="13"/>
      <c r="H695" s="13"/>
      <c r="I695" s="13"/>
      <c r="J695" s="13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  <c r="AI695" s="14"/>
      <c r="AJ695" s="14"/>
      <c r="AK695" s="14"/>
      <c r="AL695" s="14"/>
      <c r="AM695" s="14"/>
      <c r="AN695" s="14"/>
      <c r="AO695" s="14"/>
    </row>
    <row r="696" spans="1:41" ht="20" customHeight="1">
      <c r="A696" s="10"/>
      <c r="B696" s="13"/>
      <c r="C696" s="13"/>
      <c r="D696" s="13"/>
      <c r="E696" s="13"/>
      <c r="F696" s="16"/>
      <c r="G696" s="13"/>
      <c r="H696" s="13"/>
      <c r="I696" s="13"/>
      <c r="J696" s="13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  <c r="AI696" s="14"/>
      <c r="AJ696" s="14"/>
      <c r="AK696" s="14"/>
      <c r="AL696" s="14"/>
      <c r="AM696" s="14"/>
      <c r="AN696" s="14"/>
      <c r="AO696" s="14"/>
    </row>
    <row r="697" spans="1:41" ht="20" customHeight="1">
      <c r="A697" s="10"/>
      <c r="B697" s="13"/>
      <c r="C697" s="13"/>
      <c r="D697" s="13"/>
      <c r="E697" s="13"/>
      <c r="F697" s="16"/>
      <c r="G697" s="13"/>
      <c r="H697" s="13"/>
      <c r="I697" s="13"/>
      <c r="J697" s="13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  <c r="AI697" s="14"/>
      <c r="AJ697" s="14"/>
      <c r="AK697" s="14"/>
      <c r="AL697" s="14"/>
      <c r="AM697" s="14"/>
      <c r="AN697" s="14"/>
      <c r="AO697" s="14"/>
    </row>
    <row r="698" spans="1:41" ht="20" customHeight="1">
      <c r="A698" s="10"/>
      <c r="B698" s="13"/>
      <c r="C698" s="13"/>
      <c r="D698" s="13"/>
      <c r="E698" s="13"/>
      <c r="F698" s="16"/>
      <c r="G698" s="13"/>
      <c r="H698" s="13"/>
      <c r="I698" s="13"/>
      <c r="J698" s="13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  <c r="AI698" s="14"/>
      <c r="AJ698" s="14"/>
      <c r="AK698" s="14"/>
      <c r="AL698" s="14"/>
      <c r="AM698" s="14"/>
      <c r="AN698" s="14"/>
      <c r="AO698" s="14"/>
    </row>
    <row r="699" spans="1:41" ht="20" customHeight="1">
      <c r="A699" s="10"/>
      <c r="B699" s="13"/>
      <c r="C699" s="13"/>
      <c r="D699" s="13"/>
      <c r="E699" s="13"/>
      <c r="F699" s="16"/>
      <c r="G699" s="13"/>
      <c r="H699" s="13"/>
      <c r="I699" s="13"/>
      <c r="J699" s="13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  <c r="AI699" s="14"/>
      <c r="AJ699" s="14"/>
      <c r="AK699" s="14"/>
      <c r="AL699" s="14"/>
      <c r="AM699" s="14"/>
      <c r="AN699" s="14"/>
      <c r="AO699" s="14"/>
    </row>
    <row r="700" spans="1:41" ht="20" customHeight="1" collapsed="1">
      <c r="A700" s="10"/>
      <c r="B700" s="13"/>
      <c r="C700" s="13"/>
      <c r="D700" s="13"/>
      <c r="E700" s="13"/>
      <c r="F700" s="16"/>
      <c r="G700" s="13"/>
      <c r="H700" s="13"/>
      <c r="I700" s="13"/>
      <c r="J700" s="13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  <c r="AI700" s="14"/>
      <c r="AJ700" s="14"/>
      <c r="AK700" s="14"/>
      <c r="AL700" s="14"/>
      <c r="AM700" s="14"/>
      <c r="AN700" s="14"/>
      <c r="AO700" s="14"/>
    </row>
    <row r="701" spans="1:41" ht="15.65" hidden="1" customHeight="1" outlineLevel="1">
      <c r="A701" s="10"/>
      <c r="B701" s="13"/>
      <c r="C701" s="13"/>
      <c r="D701" s="13"/>
      <c r="E701" s="13"/>
      <c r="F701" s="16"/>
      <c r="G701" s="13"/>
      <c r="H701" s="13"/>
      <c r="I701" s="13"/>
      <c r="J701" s="13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  <c r="AI701" s="14"/>
      <c r="AJ701" s="14"/>
      <c r="AK701" s="14"/>
      <c r="AL701" s="14"/>
      <c r="AM701" s="14"/>
      <c r="AN701" s="14"/>
      <c r="AO701" s="14"/>
    </row>
    <row r="702" spans="1:41" ht="15.65" hidden="1" customHeight="1" outlineLevel="1">
      <c r="A702" s="10"/>
      <c r="B702" s="13"/>
      <c r="C702" s="13"/>
      <c r="D702" s="13"/>
      <c r="E702" s="13"/>
      <c r="F702" s="16"/>
      <c r="G702" s="13"/>
      <c r="H702" s="13"/>
      <c r="I702" s="13"/>
      <c r="J702" s="13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  <c r="AI702" s="14"/>
      <c r="AJ702" s="14"/>
      <c r="AK702" s="14"/>
      <c r="AL702" s="14"/>
      <c r="AM702" s="14"/>
      <c r="AN702" s="14"/>
      <c r="AO702" s="14"/>
    </row>
    <row r="703" spans="1:41" ht="15.65" hidden="1" customHeight="1" outlineLevel="1">
      <c r="A703" s="14"/>
      <c r="B703" s="14"/>
      <c r="C703" s="14"/>
      <c r="D703" s="14"/>
      <c r="E703" s="14"/>
      <c r="F703" s="8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  <c r="AI703" s="14"/>
      <c r="AJ703" s="14"/>
      <c r="AK703" s="14"/>
      <c r="AL703" s="14"/>
      <c r="AM703" s="14"/>
      <c r="AN703" s="14"/>
      <c r="AO703" s="14"/>
    </row>
    <row r="704" spans="1:41" ht="15.65" hidden="1" customHeight="1" outlineLevel="1">
      <c r="A704" s="14"/>
      <c r="B704" s="14"/>
      <c r="C704" s="14"/>
      <c r="D704" s="14"/>
      <c r="E704" s="14"/>
      <c r="F704" s="8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  <c r="AI704" s="14"/>
      <c r="AJ704" s="14"/>
      <c r="AK704" s="14"/>
      <c r="AL704" s="14"/>
      <c r="AM704" s="14"/>
      <c r="AN704" s="14"/>
      <c r="AO704" s="14"/>
    </row>
    <row r="705" spans="1:41" ht="15.65" hidden="1" customHeight="1" outlineLevel="1">
      <c r="A705" s="14"/>
      <c r="B705" s="14"/>
      <c r="C705" s="14"/>
      <c r="D705" s="14"/>
      <c r="E705" s="14"/>
      <c r="F705" s="8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  <c r="AI705" s="14"/>
      <c r="AJ705" s="14"/>
      <c r="AK705" s="14"/>
      <c r="AL705" s="14"/>
      <c r="AM705" s="14"/>
      <c r="AN705" s="14"/>
      <c r="AO705" s="14"/>
    </row>
    <row r="706" spans="1:41" ht="15.65" hidden="1" customHeight="1" outlineLevel="1">
      <c r="A706" s="14"/>
      <c r="B706" s="14"/>
      <c r="C706" s="14"/>
      <c r="D706" s="14"/>
      <c r="E706" s="14"/>
      <c r="F706" s="8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  <c r="AI706" s="14"/>
      <c r="AJ706" s="14"/>
      <c r="AK706" s="14"/>
      <c r="AL706" s="14"/>
      <c r="AM706" s="14"/>
      <c r="AN706" s="14"/>
      <c r="AO706" s="14"/>
    </row>
    <row r="707" spans="1:41" ht="15.65" hidden="1" customHeight="1" outlineLevel="1">
      <c r="A707" s="14"/>
      <c r="B707" s="14"/>
      <c r="C707" s="14"/>
      <c r="D707" s="14"/>
      <c r="E707" s="14"/>
      <c r="F707" s="8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  <c r="AI707" s="14"/>
      <c r="AJ707" s="14"/>
      <c r="AK707" s="14"/>
      <c r="AL707" s="14"/>
      <c r="AM707" s="14"/>
      <c r="AN707" s="14"/>
      <c r="AO707" s="14"/>
    </row>
    <row r="708" spans="1:41" ht="15.65" hidden="1" customHeight="1" outlineLevel="1">
      <c r="A708" s="14"/>
      <c r="B708" s="14"/>
      <c r="C708" s="14"/>
      <c r="D708" s="14"/>
      <c r="E708" s="14"/>
      <c r="F708" s="8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  <c r="AI708" s="14"/>
      <c r="AJ708" s="14"/>
      <c r="AK708" s="14"/>
      <c r="AL708" s="14"/>
      <c r="AM708" s="14"/>
      <c r="AN708" s="14"/>
      <c r="AO708" s="14"/>
    </row>
    <row r="709" spans="1:41" ht="15.65" hidden="1" customHeight="1" outlineLevel="1">
      <c r="A709" s="14"/>
      <c r="B709" s="14"/>
      <c r="C709" s="14"/>
      <c r="D709" s="14"/>
      <c r="E709" s="14"/>
      <c r="F709" s="8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  <c r="AI709" s="14"/>
      <c r="AJ709" s="14"/>
      <c r="AK709" s="14"/>
      <c r="AL709" s="14"/>
      <c r="AM709" s="14"/>
      <c r="AN709" s="14"/>
      <c r="AO709" s="14"/>
    </row>
    <row r="710" spans="1:41" ht="15.65" hidden="1" customHeight="1" outlineLevel="1">
      <c r="A710" s="14"/>
      <c r="B710" s="14"/>
      <c r="C710" s="14"/>
      <c r="D710" s="14"/>
      <c r="E710" s="14"/>
      <c r="F710" s="8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  <c r="AI710" s="14"/>
      <c r="AJ710" s="14"/>
      <c r="AK710" s="14"/>
      <c r="AL710" s="14"/>
      <c r="AM710" s="14"/>
      <c r="AN710" s="14"/>
      <c r="AO710" s="14"/>
    </row>
    <row r="711" spans="1:41" ht="15.65" customHeight="1">
      <c r="A711" s="14"/>
      <c r="B711" s="14"/>
      <c r="C711" s="14"/>
      <c r="D711" s="14"/>
      <c r="E711" s="14"/>
      <c r="F711" s="8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  <c r="AI711" s="14"/>
      <c r="AJ711" s="14"/>
      <c r="AK711" s="14"/>
      <c r="AL711" s="14"/>
      <c r="AM711" s="14"/>
      <c r="AN711" s="14"/>
      <c r="AO711" s="14"/>
    </row>
    <row r="712" spans="1:41" ht="15.65" customHeight="1">
      <c r="A712" s="14"/>
      <c r="B712" s="14"/>
      <c r="C712" s="14"/>
      <c r="D712" s="14"/>
      <c r="E712" s="14"/>
      <c r="F712" s="8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  <c r="AI712" s="14"/>
      <c r="AJ712" s="14"/>
      <c r="AK712" s="14"/>
      <c r="AL712" s="14"/>
      <c r="AM712" s="14"/>
      <c r="AN712" s="14"/>
      <c r="AO712" s="14"/>
    </row>
  </sheetData>
  <phoneticPr fontId="4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3856D6-3D5A-4833-B089-4CF18D460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Home</vt:lpstr>
      <vt:lpstr>BomTemplate</vt:lpstr>
      <vt:lpstr>Resource</vt:lpstr>
      <vt:lpstr>Fastener</vt:lpstr>
      <vt:lpstr>Fastener!_FilterDatabase</vt:lpstr>
      <vt:lpstr>BomTemplate!Print_Area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Yang</dc:creator>
  <cp:lastModifiedBy>JinNan</cp:lastModifiedBy>
  <cp:lastPrinted>2021-06-28T05:19:00Z</cp:lastPrinted>
  <dcterms:created xsi:type="dcterms:W3CDTF">2020-07-22T13:46:00Z</dcterms:created>
  <dcterms:modified xsi:type="dcterms:W3CDTF">2023-12-07T09:58:51Z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DAFA2E794AD64A0DA0251BDFD93AF9DA</vt:lpwstr>
  </property>
  <property fmtid="{D5CDD505-2E9C-101B-9397-08002B2CF9AE}" pid="3" name="KSOProductBuildVer">
    <vt:lpwstr>2052-11.1.0.10667</vt:lpwstr>
  </property>
</Properties>
</file>